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Seller Recast" sheetId="3" state="visible" r:id="rId5"/>
    <sheet name="Valuation" sheetId="4" state="visible" r:id="rId6"/>
    <sheet name="Projection" sheetId="5" state="visible" r:id="rId7"/>
    <sheet name="Structures" sheetId="6" state="visible" r:id="rId8"/>
    <sheet name="Depreciation" sheetId="7" state="visible" r:id="rId9"/>
    <sheet name="Comps" sheetId="8" state="visible" r:id="rId10"/>
  </sheets>
  <definedNames>
    <definedName function="false" hidden="false" name="AllocEquip" vbProcedure="false">Inputs!$C$10</definedName>
    <definedName function="false" hidden="false" name="AllocLHI" vbProcedure="false">Inputs!$C$11</definedName>
    <definedName function="false" hidden="false" name="AllocNoncompete" vbProcedure="false">Inputs!$C$12</definedName>
    <definedName function="false" hidden="false" name="AncGrowth" vbProcedure="false">Inputs!$C$29</definedName>
    <definedName function="false" hidden="false" name="AncRealize" vbProcedure="false">Inputs!$C$26</definedName>
    <definedName function="false" hidden="false" name="AncYr1" vbProcedure="false">Inputs!$C$119</definedName>
    <definedName function="false" hidden="false" name="ATM" vbProcedure="false">Inputs!$C$22</definedName>
    <definedName function="false" hidden="false" name="Bonus" vbProcedure="false">Inputs!$C$86</definedName>
    <definedName function="false" hidden="false" name="Burden" vbProcedure="false">Inputs!$C$38</definedName>
    <definedName function="false" hidden="false" name="CapexInfl" vbProcedure="false">Inputs!$C$84</definedName>
    <definedName function="false" hidden="false" name="CapexScenario" vbProcedure="false">Inputs!$C$83</definedName>
    <definedName function="false" hidden="false" name="CardFeePct" vbProcedure="false">Inputs!$C$49</definedName>
    <definedName function="false" hidden="false" name="ClosingCosts" vbProcedure="false">Inputs!$C$8</definedName>
    <definedName function="false" hidden="false" name="ContPct" vbProcedure="false">Inputs!$C$60</definedName>
    <definedName function="false" hidden="false" name="DCCost" vbProcedure="false">Inputs!$C$53</definedName>
    <definedName function="false" hidden="false" name="DelivLaborShare" vbProcedure="false">Inputs!$C$76</definedName>
    <definedName function="false" hidden="false" name="DelivLbsFull" vbProcedure="false">Inputs!$C$73</definedName>
    <definedName function="false" hidden="false" name="DelivLbsRamp" vbProcedure="false">Inputs!$C$72</definedName>
    <definedName function="false" hidden="false" name="DelivPrice" vbProcedure="false">Inputs!$C$74</definedName>
    <definedName function="false" hidden="false" name="DelivStart" vbProcedure="false">Inputs!$C$71</definedName>
    <definedName function="false" hidden="false" name="DelivUtilLb" vbProcedure="false">Inputs!$C$77</definedName>
    <definedName function="false" hidden="false" name="DiscRate" vbProcedure="false">Inputs!$C$112</definedName>
    <definedName function="false" hidden="false" name="DriverHours" vbProcedure="false">Inputs!$C$78</definedName>
    <definedName function="false" hidden="false" name="DriverWage" vbProcedure="false">Inputs!$C$79</definedName>
    <definedName function="false" hidden="false" name="DryClean" vbProcedure="false">Inputs!$C$21</definedName>
    <definedName function="false" hidden="false" name="EBLSingle" vbProcedure="false">Inputs!$C$93</definedName>
    <definedName function="false" hidden="false" name="ElecExtra" vbProcedure="false">Inputs!$C$41</definedName>
    <definedName function="false" hidden="false" name="EquipLife" vbProcedure="false">Inputs!$C$85</definedName>
    <definedName function="false" hidden="false" name="ExitMult" vbProcedure="false">Inputs!$C$114</definedName>
    <definedName function="false" hidden="false" name="ExitTax" vbProcedure="false">Inputs!$C$101</definedName>
    <definedName function="false" hidden="false" name="ExpInfl" vbProcedure="false">Inputs!$C$61</definedName>
    <definedName function="false" hidden="false" name="GameVend" vbProcedure="false">Inputs!$C$25</definedName>
    <definedName function="false" hidden="false" name="GasElecYr1" vbProcedure="false">Inputs!$C$40</definedName>
    <definedName function="false" hidden="false" name="Goodwill" vbProcedure="false">Inputs!$C$117</definedName>
    <definedName function="false" hidden="false" name="HandoffYear" vbProcedure="false">Inputs!$C$67</definedName>
    <definedName function="false" hidden="false" name="Insurance" vbProcedure="false">Inputs!$C$48</definedName>
    <definedName function="false" hidden="false" name="LbsPerHour" vbProcedure="false">Inputs!$C$75</definedName>
    <definedName function="false" hidden="false" name="Licenses" vbProcedure="false">Inputs!$C$57</definedName>
    <definedName function="false" hidden="false" name="LoanAmt" vbProcedure="false">Inputs!$C$104</definedName>
    <definedName function="false" hidden="false" name="LoanForgive" vbProcedure="false">Inputs!$C$106</definedName>
    <definedName function="false" hidden="false" name="LoanRate" vbProcedure="false">Inputs!$C$105</definedName>
    <definedName function="false" hidden="false" name="Marketing" vbProcedure="false">Inputs!$C$59</definedName>
    <definedName function="false" hidden="false" name="MgrHours" vbProcedure="false">Inputs!$C$69</definedName>
    <definedName function="false" hidden="false" name="MgrPremium" vbProcedure="false">Inputs!$C$70</definedName>
    <definedName function="false" hidden="false" name="MiscSupplies" vbProcedure="false">Inputs!$C$55</definedName>
    <definedName function="false" hidden="false" name="NIIT" vbProcedure="false">Inputs!$C$97</definedName>
    <definedName function="false" hidden="false" name="NJ179" vbProcedure="false">Inputs!$C$87</definedName>
    <definedName function="false" hidden="false" name="OwnerHours" vbProcedure="false">Inputs!$C$64</definedName>
    <definedName function="false" hidden="false" name="OwnerHoursLater" vbProcedure="false">Inputs!$C$68</definedName>
    <definedName function="false" hidden="false" name="PaidHours" vbProcedure="false">Inputs!$C$35</definedName>
    <definedName function="false" hidden="false" name="ParentFed" vbProcedure="false">Inputs!$C$96</definedName>
    <definedName function="false" hidden="false" name="ParentNJ" vbProcedure="false">Inputs!$C$98</definedName>
    <definedName function="false" hidden="false" name="ParentNJBiz" vbProcedure="false">Inputs!$C$100</definedName>
    <definedName function="false" hidden="false" name="ParentPassive" vbProcedure="false">Inputs!$C$99</definedName>
    <definedName function="false" hidden="false" name="PayrollSvc" vbProcedure="false">Inputs!$C$58</definedName>
    <definedName function="false" hidden="false" name="POS" vbProcedure="false">Inputs!$C$50</definedName>
    <definedName function="false" hidden="false" name="PreTaxTarget" vbProcedure="false">Inputs!$C$113</definedName>
    <definedName function="false" hidden="false" name="Price" vbProcedure="false">Inputs!$C$7</definedName>
    <definedName function="false" hidden="false" name="ProFees" vbProcedure="false">Inputs!$C$56</definedName>
    <definedName function="false" hidden="false" name="QBIRate" vbProcedure="false">Inputs!$C$95</definedName>
    <definedName function="false" hidden="false" name="RentEsc" vbProcedure="false">Inputs!$C$34</definedName>
    <definedName function="false" hidden="false" name="RentYr1" vbProcedure="false">Inputs!$C$33</definedName>
    <definedName function="false" hidden="false" name="RepairsAging" vbProcedure="false">Inputs!$C$46</definedName>
    <definedName function="false" hidden="false" name="RepairsNewPct" vbProcedure="false">Inputs!$C$47</definedName>
    <definedName function="false" hidden="false" name="RepairsYr1" vbProcedure="false">Inputs!$C$45</definedName>
    <definedName function="false" hidden="false" name="RetoolLift" vbProcedure="false">Inputs!$C$30</definedName>
    <definedName function="false" hidden="false" name="RyanFed" vbProcedure="false">Inputs!$C$90</definedName>
    <definedName function="false" hidden="false" name="RyanNJ" vbProcedure="false">Inputs!$C$91</definedName>
    <definedName function="false" hidden="false" name="RyanOtherInc" vbProcedure="false">Inputs!$C$92</definedName>
    <definedName function="false" hidden="false" name="RyanSalary" vbProcedure="false">Inputs!$C$108</definedName>
    <definedName function="false" hidden="false" name="SCorpPayroll" vbProcedure="false">Inputs!$C$109</definedName>
    <definedName function="false" hidden="false" name="SCorpYear" vbProcedure="false">Inputs!$C$107</definedName>
    <definedName function="false" hidden="false" name="SelfServe" vbProcedure="false">Inputs!$C$15</definedName>
    <definedName function="false" hidden="false" name="SnackVend" vbProcedure="false">Inputs!$C$24</definedName>
    <definedName function="false" hidden="false" name="SoapVend" vbProcedure="false">Inputs!$C$23</definedName>
    <definedName function="false" hidden="false" name="SSBase" vbProcedure="false">Inputs!$C$94</definedName>
    <definedName function="false" hidden="false" name="SSGrowth" vbProcedure="false">Inputs!$C$27</definedName>
    <definedName function="false" hidden="false" name="TeleAlarmTrash" vbProcedure="false">Inputs!$C$54</definedName>
    <definedName function="false" hidden="false" name="TotalInvest" vbProcedure="false">Inputs!$C$118</definedName>
    <definedName function="false" hidden="false" name="UtilCont" vbProcedure="false">Inputs!$C$42</definedName>
    <definedName function="false" hidden="false" name="UtilInfl" vbProcedure="false">Inputs!$C$43</definedName>
    <definedName function="false" hidden="false" name="UtilSave" vbProcedure="false">Inputs!$C$44</definedName>
    <definedName function="false" hidden="false" name="VehicleCost" vbProcedure="false">Inputs!$C$80</definedName>
    <definedName function="false" hidden="false" name="VendCOGS" vbProcedure="false">Inputs!$C$52</definedName>
    <definedName function="false" hidden="false" name="Wage" vbProcedure="false">Inputs!$C$36</definedName>
    <definedName function="false" hidden="false" name="WageGrowth" vbProcedure="false">Inputs!$C$37</definedName>
    <definedName function="false" hidden="false" name="WaterYr1" vbProcedure="false">Inputs!$C$39</definedName>
    <definedName function="false" hidden="false" name="WFGrowth" vbProcedure="false">Inputs!$C$28</definedName>
    <definedName function="false" hidden="false" name="WFLbsMonth" vbProcedure="false">Inputs!$C$16</definedName>
    <definedName function="false" hidden="false" name="WFPrice" vbProcedure="false">Inputs!$C$17</definedName>
    <definedName function="false" hidden="false" name="WFPriceNew" vbProcedure="false">Inputs!$C$18</definedName>
    <definedName function="false" hidden="false" name="WFPriceYear" vbProcedure="false">Inputs!$C$19</definedName>
    <definedName function="false" hidden="false" name="WFSupplyLb" vbProcedure="false">Inputs!$C$51</definedName>
    <definedName function="false" hidden="false" name="WFVolLoss" vbProcedure="false">Inputs!$C$20</definedName>
    <definedName function="false" hidden="false" name="WorkingCap" vbProcedure="false">Inputs!$C$9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<sst xmlns="http://schemas.openxmlformats.org/spreadsheetml/2006/main" count="691" uniqueCount="573">
  <si>
    <t xml:space="preserve">Tumble Wash Laundromat: underwriting summary</t>
  </si>
  <si>
    <t xml:space="preserve">1147 Summit Ave, Jersey City NJ. BizBuySell #2564518. Model as of 2026-10-16. Change assumptions on the Inputs sheet.</t>
  </si>
  <si>
    <t xml:space="preserve">Deal</t>
  </si>
  <si>
    <t xml:space="preserve">Asking price</t>
  </si>
  <si>
    <t xml:space="preserve">Total cash at close (price + closing + working capital)</t>
  </si>
  <si>
    <t xml:space="preserve">Capex scenario selected (1 keep/repair, 2 washers now, 3 full retool, 4 bear)</t>
  </si>
  <si>
    <t xml:space="preserve">Equipment capex over the lease (inflated)</t>
  </si>
  <si>
    <t xml:space="preserve">Earnings: broker vs. underwritten (Year 1)</t>
  </si>
  <si>
    <t xml:space="preserve">Broker</t>
  </si>
  <si>
    <t xml:space="preserve">Underwritten</t>
  </si>
  <si>
    <t xml:space="preserve">Difference</t>
  </si>
  <si>
    <t xml:space="preserve">Revenue</t>
  </si>
  <si>
    <t xml:space="preserve">Operating expenses</t>
  </si>
  <si>
    <t xml:space="preserve">NOI, absentee</t>
  </si>
  <si>
    <t xml:space="preserve">Broker's stated NOI / SDE (as listed)</t>
  </si>
  <si>
    <t xml:space="preserve">SDE if Ryan works his hours</t>
  </si>
  <si>
    <t xml:space="preserve">NOI after average equipment reserve</t>
  </si>
  <si>
    <t xml:space="preserve">Ask as a multiple of underwritten absentee NOI</t>
  </si>
  <si>
    <t xml:space="preserve">Returns</t>
  </si>
  <si>
    <t xml:space="preserve">Pre-tax unlevered IRR, 17 years (absentee)</t>
  </si>
  <si>
    <t xml:space="preserve">Year-1 cash-on-cash, pre-tax</t>
  </si>
  <si>
    <t xml:space="preserve">After tax, family level</t>
  </si>
  <si>
    <t xml:space="preserve">NPV</t>
  </si>
  <si>
    <t xml:space="preserve">IRR</t>
  </si>
  <si>
    <t xml:space="preserve">Total tax 1-17</t>
  </si>
  <si>
    <t xml:space="preserve">Year-1 tax</t>
  </si>
  <si>
    <t xml:space="preserve">A  Ryan owns (gift), single-member LLC</t>
  </si>
  <si>
    <t xml:space="preserve">B  Parents own, passive, no passive income</t>
  </si>
  <si>
    <t xml:space="preserve">C  Parents own, passive, with passive income</t>
  </si>
  <si>
    <t xml:space="preserve">D  Ryan owns, AFR loan from parents, S-corp later</t>
  </si>
  <si>
    <t xml:space="preserve">Value</t>
  </si>
  <si>
    <t xml:space="preserve">Fair value range, low</t>
  </si>
  <si>
    <t xml:space="preserve">Fair value range, high</t>
  </si>
  <si>
    <t xml:space="preserve">Max price at pre-tax target return</t>
  </si>
  <si>
    <t xml:space="preserve">Suggested opening offer</t>
  </si>
  <si>
    <t xml:space="preserve">Walk-away price</t>
  </si>
  <si>
    <t xml:space="preserve">Scenario snapshot (values pasted by build script; rerun build_model.py after changing inputs)</t>
  </si>
  <si>
    <t xml:space="preserve">Case</t>
  </si>
  <si>
    <t xml:space="preserve">Yr-1 NOI</t>
  </si>
  <si>
    <t xml:space="preserve">Pre-tax IRR</t>
  </si>
  <si>
    <t xml:space="preserve">A: NPV</t>
  </si>
  <si>
    <t xml:space="preserve">A: IRR</t>
  </si>
  <si>
    <t xml:space="preserve">B: NPV</t>
  </si>
  <si>
    <t xml:space="preserve">C: NPV</t>
  </si>
  <si>
    <t xml:space="preserve">D: NPV</t>
  </si>
  <si>
    <t xml:space="preserve">Base: ask $450,000, keep &amp; repair machines</t>
  </si>
  <si>
    <t xml:space="preserve">Offer $400,000 (90% of ask)</t>
  </si>
  <si>
    <t xml:space="preserve">Offer $360,000 (80% of ask)</t>
  </si>
  <si>
    <t xml:space="preserve">Replace washers at close (scenario 2)</t>
  </si>
  <si>
    <t xml:space="preserve">Full retool at close (scenario 3)</t>
  </si>
  <si>
    <t xml:space="preserve">Machines fail early (scenario 4)</t>
  </si>
  <si>
    <t xml:space="preserve">Utilities +20% vs. the P&amp;L</t>
  </si>
  <si>
    <t xml:space="preserve">Revenue 10% below the P&amp;L</t>
  </si>
  <si>
    <t xml:space="preserve">Ryan works 0 hrs (fully absentee)</t>
  </si>
  <si>
    <t xml:space="preserve">No lease renewal (exit value $0)</t>
  </si>
  <si>
    <t xml:space="preserve">Ryan's plan (owner hours, day manager)</t>
  </si>
  <si>
    <t xml:space="preserve">BEAR case (cases.py)</t>
  </si>
  <si>
    <t xml:space="preserve">BASE case (cases.py)</t>
  </si>
  <si>
    <t xml:space="preserve">BULL case (cases.py)</t>
  </si>
  <si>
    <t xml:space="preserve">Electric billed separately (+$12k/yr)</t>
  </si>
  <si>
    <t xml:space="preserve">Your plan + staffed delivery/commercial (5,000 lb/mo)</t>
  </si>
  <si>
    <t xml:space="preserve">Broker's expense assumptions</t>
  </si>
  <si>
    <t xml:space="preserve">Static values from snapshot.py; each case changes only the listed inputs from the base. NPV at the Inputs discount rate.</t>
  </si>
  <si>
    <t xml:space="preserve">Inputs: Tumble Wash Laundromat, 1147 Summit Ave, Jersey City NJ</t>
  </si>
  <si>
    <t xml:space="preserve">Blue = hardcoded input. Yellow = key assumption / please confirm. Year 1 = first 12 months of ownership (assumed calendar 2027). Edit only column C.</t>
  </si>
  <si>
    <t xml:space="preserve">Purchase price</t>
  </si>
  <si>
    <t xml:space="preserve">Listing ask (BizBuySell #2564518). Change to test offers.</t>
  </si>
  <si>
    <t xml:space="preserve">Closing costs (legal, accounting/QoE, inspection, bulk-sale filing)</t>
  </si>
  <si>
    <t xml:space="preserve">Estimate. Capitalized with goodwill (15-yr).</t>
  </si>
  <si>
    <t xml:space="preserve">Opening working capital (card float, supplies, cash reserve)</t>
  </si>
  <si>
    <t xml:space="preserve">Estimate. Recovered at exit.</t>
  </si>
  <si>
    <t xml:space="preserve">Form 8594 allocation: machines, card system, ATM, vending (Class V)</t>
  </si>
  <si>
    <t xml:space="preserve">Estimate: ~69 machines at 15 yrs old; support with a distributor appraisal. Seller will want this low (recapture).</t>
  </si>
  <si>
    <t xml:space="preserve">Form 8594 allocation: leasehold improvements (curbs, tile, plumbing troughs, venting)</t>
  </si>
  <si>
    <t xml:space="preserve">Estimate. Qualified improvement property (15-yr, bonus-eligible).</t>
  </si>
  <si>
    <t xml:space="preserve">Form 8594 allocation: seller non-compete</t>
  </si>
  <si>
    <t xml:space="preserve">Estimate. Sec. 197, 15-yr. Negotiate a 5-yr / 3-mile non-compete.</t>
  </si>
  <si>
    <t xml:space="preserve">Revenue (Year 1, annual, from the broker P&amp;L unless noted)</t>
  </si>
  <si>
    <t xml:space="preserve">Self-serve washer/dryer revenue</t>
  </si>
  <si>
    <t xml:space="preserve">P&amp;L $18,000/mo; listing $4,150/wk. Verify with 24 months of CCI card-system reports.</t>
  </si>
  <si>
    <t xml:space="preserve">Wash-dry-fold pounds per month</t>
  </si>
  <si>
    <t xml:space="preserve">P&amp;L ~8,000 lb/mo (listing 1,846 lb/wk). Verify in Cents POS.</t>
  </si>
  <si>
    <t xml:space="preserve">Wash-dry-fold price per lb (Year 1)</t>
  </si>
  <si>
    <t xml:space="preserve">P&amp;L/listing. Local range $1.00-1.25; delivery $1.25-1.49 (research/opex.md).</t>
  </si>
  <si>
    <t xml:space="preserve">Wash-dry-fold price per lb after increase</t>
  </si>
  <si>
    <t xml:space="preserve">Assumption: raise to $1.50 (CLA survey mode $1.50-1.99).</t>
  </si>
  <si>
    <t xml:space="preserve">Year the W&amp;F price increase takes effect</t>
  </si>
  <si>
    <t xml:space="preserve">Assumption.</t>
  </si>
  <si>
    <t xml:space="preserve">W&amp;F volume lost when price rises</t>
  </si>
  <si>
    <t xml:space="preserve">Drop-off dry cleaning revenue</t>
  </si>
  <si>
    <t xml:space="preserve">P&amp;L $500/mo.</t>
  </si>
  <si>
    <t xml:space="preserve">ATM revenue</t>
  </si>
  <si>
    <t xml:space="preserve">P&amp;L $500/mo. Seller-owned ATM included. Verify.</t>
  </si>
  <si>
    <t xml:space="preserve">Soap vending revenue</t>
  </si>
  <si>
    <t xml:space="preserve">P&amp;L $1,250/mo. NJ sales tax applies to detergent; confirm whether P&amp;L figure is net of tax.</t>
  </si>
  <si>
    <t xml:space="preserve">Snack/soda vending revenue</t>
  </si>
  <si>
    <t xml:space="preserve">P&amp;L $600/mo.</t>
  </si>
  <si>
    <t xml:space="preserve">Game (quarter pusher / arcade) revenue</t>
  </si>
  <si>
    <t xml:space="preserve">P&amp;L $500/mo. Unverifiable cash; verify.</t>
  </si>
  <si>
    <t xml:space="preserve">Share of ancillary (non-laundry) revenue underwritten</t>
  </si>
  <si>
    <t xml:space="preserve">Haircut on cash-heavy, unverifiable lines (dry cleaning, ATM, vending, games).</t>
  </si>
  <si>
    <t xml:space="preserve">Self-serve revenue growth per year (price + volume)</t>
  </si>
  <si>
    <t xml:space="preserve">Assumption: vend price increases roughly track inflation.</t>
  </si>
  <si>
    <t xml:space="preserve">W&amp;F revenue growth per year after the step-up</t>
  </si>
  <si>
    <t xml:space="preserve">Ancillary revenue growth per year</t>
  </si>
  <si>
    <t xml:space="preserve">Self-serve revenue lift from a fully new washer/dryer fleet</t>
  </si>
  <si>
    <t xml:space="preserve">Equipment thread base case (5%).</t>
  </si>
  <si>
    <t xml:space="preserve">Operating expenses (Year 1)</t>
  </si>
  <si>
    <t xml:space="preserve">Rent incl. NNN, CAM and any utilities the lease covers (annual)</t>
  </si>
  <si>
    <t xml:space="preserve">$2,758/mo per listing; +~3%/yr; ~17 yrs left. Confirm escalation date and that sewer is truly included (P&amp;L says so).</t>
  </si>
  <si>
    <t xml:space="preserve">Rent escalation per year</t>
  </si>
  <si>
    <t xml:space="preserve">Listing: approx. 3%/yr.</t>
  </si>
  <si>
    <t xml:space="preserve">Paid attendant hours per week (absentee model)</t>
  </si>
  <si>
    <t xml:space="preserve">P&amp;L: 91 hrs/wk (store open 112, 21 unattended).</t>
  </si>
  <si>
    <t xml:space="preserve">Attendant wage per hour (Year 1)</t>
  </si>
  <si>
    <t xml:space="preserve">NJ minimum wage $16.48 from 1/1/2027; local attendants ~$16.50-18 (research/opex.md). P&amp;L uses $16.50.</t>
  </si>
  <si>
    <t xml:space="preserve">Wage growth per year</t>
  </si>
  <si>
    <t xml:space="preserve">NJ minimum wage is CPI-indexed.</t>
  </si>
  <si>
    <t xml:space="preserve">Employer payroll burden (FICA, FUTA, state UI/DI, local payroll tax, workers' comp, sick leave)</t>
  </si>
  <si>
    <t xml:space="preserve">research/opex.md: ~16% all-in. P&amp;L shows N/A for payroll tax and WC.</t>
  </si>
  <si>
    <t xml:space="preserve">Water and sewer (annual)</t>
  </si>
  <si>
    <t xml:space="preserve">P&amp;L $2,700/mo. JCMUA rates rise ~5%/yr (2026 $17.82 per 1,000 gal combined).</t>
  </si>
  <si>
    <t xml:space="preserve">Gas + electric (annual)</t>
  </si>
  <si>
    <t xml:space="preserve">P&amp;L $2,700/mo on the 'Gas' line, electric marked 'Inc'. Our read: one combined PSE&amp;G bill. If electric is extra, add it in the next row.</t>
  </si>
  <si>
    <t xml:space="preserve">Additional electric not in the broker P&amp;L (annual)</t>
  </si>
  <si>
    <t xml:space="preserve">Set to ~$10-15k if 12 months of PSE&amp;G bills show electric is billed separately.</t>
  </si>
  <si>
    <t xml:space="preserve">Utility contingency (unverified bills)</t>
  </si>
  <si>
    <t xml:space="preserve">Assumption until 12-24 months of bills are reviewed.</t>
  </si>
  <si>
    <t xml:space="preserve">Utility cost inflation per year</t>
  </si>
  <si>
    <t xml:space="preserve">PSE&amp;G/JCMUA trend (research/opex.md).</t>
  </si>
  <si>
    <t xml:space="preserve">Utility saving with a fully new fleet</t>
  </si>
  <si>
    <t xml:space="preserve">Equipment thread: new washers ~25% less water/energy; blended ~20%.</t>
  </si>
  <si>
    <t xml:space="preserve">Repairs &amp; maintenance, current fleet (Year 1)</t>
  </si>
  <si>
    <t xml:space="preserve">P&amp;L $5,400/yr looks owner-subsidized; equipment thread ~$8k + parts/outside techs.</t>
  </si>
  <si>
    <t xml:space="preserve">Repair cost growth per year while fleet ages</t>
  </si>
  <si>
    <t xml:space="preserve">Equipment thread.</t>
  </si>
  <si>
    <t xml:space="preserve">Repairs on a new fleet, % of revenue</t>
  </si>
  <si>
    <t xml:space="preserve">Industry benchmark for new equipment under warranty.</t>
  </si>
  <si>
    <t xml:space="preserve">Insurance: property, GL, equipment breakdown, umbrella</t>
  </si>
  <si>
    <t xml:space="preserve">Estimate $5-9k (research/opex.md). P&amp;L shows $2,880.</t>
  </si>
  <si>
    <t xml:space="preserve">Card processing fees, % of laundry revenue</t>
  </si>
  <si>
    <t xml:space="preserve">P&amp;L $400/mo on $28k/mo laundry revenue.</t>
  </si>
  <si>
    <t xml:space="preserve">POS / card system fees</t>
  </si>
  <si>
    <t xml:space="preserve">P&amp;L $350 + $200/mo.</t>
  </si>
  <si>
    <t xml:space="preserve">W&amp;F supplies per lb</t>
  </si>
  <si>
    <t xml:space="preserve">P&amp;L $300/mo / 8,000 lb.</t>
  </si>
  <si>
    <t xml:space="preserve">Vending COGS, % of soap + snack revenue</t>
  </si>
  <si>
    <t xml:space="preserve">P&amp;L $625/mo on $1,850/mo.</t>
  </si>
  <si>
    <t xml:space="preserve">Dry cleaning cost, % of dry cleaning revenue</t>
  </si>
  <si>
    <t xml:space="preserve">P&amp;L $250 on $500.</t>
  </si>
  <si>
    <t xml:space="preserve">Phone/Wi-Fi, alarm, fire alarm, trash</t>
  </si>
  <si>
    <t xml:space="preserve">P&amp;L $120+$30+$35/mo + $375 fire alarm.</t>
  </si>
  <si>
    <t xml:space="preserve">Misc. supplies</t>
  </si>
  <si>
    <t xml:space="preserve">P&amp;L $150/mo.</t>
  </si>
  <si>
    <t xml:space="preserve">Accounting, tax prep, legal</t>
  </si>
  <si>
    <t xml:space="preserve">Not in P&amp;L. Two depreciation books (federal + NJ) and a partnership return.</t>
  </si>
  <si>
    <t xml:space="preserve">Licenses, LLC annual report, vending/health permits</t>
  </si>
  <si>
    <t xml:space="preserve">Not in P&amp;L.</t>
  </si>
  <si>
    <t xml:space="preserve">Payroll service</t>
  </si>
  <si>
    <t xml:space="preserve">Gusto ~$49/mo + $6/person.</t>
  </si>
  <si>
    <t xml:space="preserve">Marketing (Google profile, signage, flyers, W&amp;F promos)</t>
  </si>
  <si>
    <t xml:space="preserve">General contingency, % of revenue</t>
  </si>
  <si>
    <t xml:space="preserve">Unbudgeted items.</t>
  </si>
  <si>
    <t xml:space="preserve">General expense inflation</t>
  </si>
  <si>
    <t xml:space="preserve">Owner time (Ryan)</t>
  </si>
  <si>
    <t xml:space="preserve">Hours per week Ryan works in the store (replacing paid attendants)</t>
  </si>
  <si>
    <t xml:space="preserve">Assumption. 500+ hrs/yr (~10/wk) is the material-participation test. Broker: plan 10-15 hrs/wk even 'absentee'.</t>
  </si>
  <si>
    <t xml:space="preserve">Owner hand-off and delivery/commercial growth (defaults = off; see Summary scenario table)</t>
  </si>
  <si>
    <t xml:space="preserve">Year Ryan steps back to a management role</t>
  </si>
  <si>
    <t xml:space="preserve">Ryan: full-time in Year 1, then train staff to take over.</t>
  </si>
  <si>
    <t xml:space="preserve">Ryan's hours per week in the store after the hand-off</t>
  </si>
  <si>
    <t xml:space="preserve">Default 40 = no hand-off. Ryan's plan: ~10 (management, books, marketing, contracts).</t>
  </si>
  <si>
    <t xml:space="preserve">Day-manager hours per week (lead attendant who covers Ryan's shifts) from hand-off</t>
  </si>
  <si>
    <t xml:space="preserve">Default 0 = off. Plan: 40.</t>
  </si>
  <si>
    <t xml:space="preserve">Day-manager pay premium over attendant wage, per hour</t>
  </si>
  <si>
    <t xml:space="preserve">~$22/hr vs $17.50 attendant (research/opex.md range).</t>
  </si>
  <si>
    <t xml:space="preserve">First year of the pickup/delivery + commercial program</t>
  </si>
  <si>
    <t xml:space="preserve">Delivery/commercial pounds per month, first year</t>
  </si>
  <si>
    <t xml:space="preserve">Default 0 = off. Plan: 2,000 lb/mo.</t>
  </si>
  <si>
    <t xml:space="preserve">Delivery/commercial pounds per month, later years</t>
  </si>
  <si>
    <t xml:space="preserve">Default 0 = off. Plan: 5,000 lb/mo (e.g. ~60 residential customers + 2-4 Airbnb/gym/restaurant accounts).</t>
  </si>
  <si>
    <t xml:space="preserve">Delivery/commercial price per lb</t>
  </si>
  <si>
    <t xml:space="preserve">Jersey City delivery $1.25-1.49 at local stores, app services ~$2.65 (research/opex.md); commercial linens taxable 6.625% (passed through).</t>
  </si>
  <si>
    <t xml:space="preserve">Pounds processed (wash, dry, fold) per labor hour</t>
  </si>
  <si>
    <t xml:space="preserve">Industry rule of thumb 25-35 lb/hr.</t>
  </si>
  <si>
    <t xml:space="preserve">Share of processing labor that is new paid hours (rest absorbed by idle attendant time)</t>
  </si>
  <si>
    <t xml:space="preserve">Attendants already on shift have slack during slow hours.</t>
  </si>
  <si>
    <t xml:space="preserve">Utilities per lb processed</t>
  </si>
  <si>
    <t xml:space="preserve">Estimate: water, gas, electric for wash + dry.</t>
  </si>
  <si>
    <t xml:space="preserve">Driver hours per week once the program runs</t>
  </si>
  <si>
    <t xml:space="preserve">Part-time driver; routes 2x/day, 5 days.</t>
  </si>
  <si>
    <t xml:space="preserve">Driver wage per hour</t>
  </si>
  <si>
    <t xml:space="preserve">Van lease, fuel, commercial auto insurance per year</t>
  </si>
  <si>
    <t xml:space="preserve">Assumption ~$1,000/mo. Alternative: per-stop courier.</t>
  </si>
  <si>
    <t xml:space="preserve">Equipment capital plan</t>
  </si>
  <si>
    <t xml:space="preserve">Capex scenario (1 = keep &amp; repair; 2 = washers now; 3 = full retool at close; 4 = bear: machines fail early). See Depreciation sheet.</t>
  </si>
  <si>
    <t xml:space="preserve">Equipment thread (revised): washers ~15 yrs old vs 12-15 yr CLA average, so replace in yrs 1-4; base yr 4 (/mnt/project-files/equipment/README.md s.2).</t>
  </si>
  <si>
    <t xml:space="preserve">Equipment price inflation per year (capex schedule is in today's dollars)</t>
  </si>
  <si>
    <t xml:space="preserve">Federal/state MACRS recovery period for machines (5 or 7)</t>
  </si>
  <si>
    <t xml:space="preserve">Asset class 57.0 = 5-yr (research/tax.md). Confirm with CPA.</t>
  </si>
  <si>
    <t xml:space="preserve">Federal bonus depreciation %</t>
  </si>
  <si>
    <t xml:space="preserve">OBBBA: 100% permanent for property acquired after 1/19/2025; used property from unrelated seller qualifies.</t>
  </si>
  <si>
    <t xml:space="preserve">State Section 179 limit per year (NJ: $25k, no bonus)</t>
  </si>
  <si>
    <t xml:space="preserve">NJ decoupled: $25k cap, no bonus (GIT-DEP).</t>
  </si>
  <si>
    <t xml:space="preserve">Tax rates and limits</t>
  </si>
  <si>
    <t xml:space="preserve">Ryan: federal marginal income tax rate</t>
  </si>
  <si>
    <t xml:space="preserve">Placeholder. Depends on Ryan's other income. Please confirm.</t>
  </si>
  <si>
    <t xml:space="preserve">Ryan: state marginal rate</t>
  </si>
  <si>
    <t xml:space="preserve">NJ GIT bracket $75k-$500k (single).</t>
  </si>
  <si>
    <t xml:space="preserve">Ryan: other income available to absorb business losses (federal)</t>
  </si>
  <si>
    <t xml:space="preserve">Structure memo: ~$50k role at the parents' practice. Losses above this become an NOL carryforward.</t>
  </si>
  <si>
    <t xml:space="preserve">Excess business loss limit, single</t>
  </si>
  <si>
    <t xml:space="preserve">Rev. Proc. 2025-32.</t>
  </si>
  <si>
    <t xml:space="preserve">Social Security wage base</t>
  </si>
  <si>
    <t xml:space="preserve">SSA. Grown with wages in the model.</t>
  </si>
  <si>
    <t xml:space="preserve">QBI deduction rate (Sec. 199A)</t>
  </si>
  <si>
    <t xml:space="preserve">Permanent under OBBBA.</t>
  </si>
  <si>
    <t xml:space="preserve">Parents: federal marginal rate</t>
  </si>
  <si>
    <t xml:space="preserve">Assumed top bracket (physicians). Confirm.</t>
  </si>
  <si>
    <t xml:space="preserve">Net investment income tax on passive income</t>
  </si>
  <si>
    <t xml:space="preserve">Sec. 1411; applies to passive owners.</t>
  </si>
  <si>
    <t xml:space="preserve">Parents: state marginal rate</t>
  </si>
  <si>
    <t xml:space="preserve">NJ GIT $500k-$1M bracket; 10.75% above $1M.</t>
  </si>
  <si>
    <t xml:space="preserve">Parents: other net passive income each year (structure C only)</t>
  </si>
  <si>
    <t xml:space="preserve">Placeholder, e.g. rental K-1s from their investment LLCs. Structure B assumes $0.</t>
  </si>
  <si>
    <t xml:space="preserve">Parents: other state partnership/business income for netting (structure C only)</t>
  </si>
  <si>
    <t xml:space="preserve">Placeholder: practice/investment partnership K-1s (NJ-BUS-2 netting).</t>
  </si>
  <si>
    <t xml:space="preserve">Blended tax rate on exit proceeds</t>
  </si>
  <si>
    <t xml:space="preserve">Mix of Sec. 1245 recapture (ordinary) and capital gain.</t>
  </si>
  <si>
    <t xml:space="preserve">Family capital (structure D loan terms; structure E uses the same amount as parents' capital)</t>
  </si>
  <si>
    <t xml:space="preserve">Parents' funding (D: AFR loan to Ryan's LLC; E: capital into OpCo)</t>
  </si>
  <si>
    <t xml:space="preserve">Structure memo: ~$500k AFR note, interest-only.</t>
  </si>
  <si>
    <t xml:space="preserve">Loan interest rate (AFR)</t>
  </si>
  <si>
    <t xml:space="preserve">Oct 2026 mid-term AFR 4.61% (Rev. Rul. 2026-19); long-term 5.22%.</t>
  </si>
  <si>
    <t xml:space="preserve">Principal forgiven each year (annual-exclusion gifts)</t>
  </si>
  <si>
    <t xml:space="preserve">$19k x 2 parents (2026 exclusion).</t>
  </si>
  <si>
    <t xml:space="preserve">First year taxed as an S-corp</t>
  </si>
  <si>
    <t xml:space="preserve">Structure memo: elect from Year 2.</t>
  </si>
  <si>
    <t xml:space="preserve">Ryan's reasonable salary from the S-corp (Year of election)</t>
  </si>
  <si>
    <t xml:space="preserve">Assumption; grows with wages. Must be defensible for ~40 hrs/wk management + attendant work.</t>
  </si>
  <si>
    <t xml:space="preserve">Payroll taxes on Ryan's salary (FICA both halves + state UI/DI + local payroll tax)</t>
  </si>
  <si>
    <t xml:space="preserve">15.3% + ~3.0% (research/opex.md); JC 1% does not apply if Ryan lives in Jersey City.</t>
  </si>
  <si>
    <t xml:space="preserve">Valuation</t>
  </si>
  <si>
    <t xml:space="preserve">Discount rate (after-tax, all-cash equity)</t>
  </si>
  <si>
    <t xml:space="preserve">Small-business equity; parents' cash alternative ~4-5% in Treasuries.</t>
  </si>
  <si>
    <t xml:space="preserve">Target pre-tax unlevered return for max-price test</t>
  </si>
  <si>
    <t xml:space="preserve">Exit value at end of Year 17, multiple of Year-17 EBITDA</t>
  </si>
  <si>
    <t xml:space="preserve">Lease ends in Year 17; value depends on a renewal. 0 = walk away.</t>
  </si>
  <si>
    <t xml:space="preserve">Derived (formulas)</t>
  </si>
  <si>
    <t xml:space="preserve">Goodwill + going concern (Class VII) incl. closing costs</t>
  </si>
  <si>
    <t xml:space="preserve">Ancillary revenue underwritten (Year 1)</t>
  </si>
  <si>
    <t xml:space="preserve">Broker P&amp;L vs. underwritten Year 1 (annual)</t>
  </si>
  <si>
    <t xml:space="preserve">Broker column = proforma P&amp;L dated 10-4-26 x 12 (photo IMG_1029), annualized. Underwritten = Projection Year 1.</t>
  </si>
  <si>
    <t xml:space="preserve">Line</t>
  </si>
  <si>
    <t xml:space="preserve">Broker P&amp;L</t>
  </si>
  <si>
    <t xml:space="preserve">Underwritten Yr 1</t>
  </si>
  <si>
    <t xml:space="preserve">Why</t>
  </si>
  <si>
    <t xml:space="preserve">Self-serve</t>
  </si>
  <si>
    <t xml:space="preserve">Same; verify with CCI reports.</t>
  </si>
  <si>
    <t xml:space="preserve">Wash-dry-fold</t>
  </si>
  <si>
    <t xml:space="preserve">Same in Year 1; price increase starts Year 2.</t>
  </si>
  <si>
    <t xml:space="preserve">Ancillary (dry cleaning, ATM, vending, games)</t>
  </si>
  <si>
    <t xml:space="preserve">Haircut on unverifiable cash lines.</t>
  </si>
  <si>
    <t xml:space="preserve">TOTAL REVENUE</t>
  </si>
  <si>
    <t xml:space="preserve">Listing says $372k; P&amp;L sums to $376k.</t>
  </si>
  <si>
    <t xml:space="preserve">Rent incl. NNN/CAM</t>
  </si>
  <si>
    <t xml:space="preserve">From the lease.</t>
  </si>
  <si>
    <t xml:space="preserve">Payroll wages</t>
  </si>
  <si>
    <t xml:space="preserve">P&amp;L: 91 hrs x $16.50. 2027 NJ minimum wage is $16.48, so $17.50 to keep staff.</t>
  </si>
  <si>
    <t xml:space="preserve">Payroll taxes, workers' comp, sick leave</t>
  </si>
  <si>
    <t xml:space="preserve">P&amp;L shows N/A. Legally required.</t>
  </si>
  <si>
    <t xml:space="preserve">Water and sewer</t>
  </si>
  <si>
    <t xml:space="preserve">Plus 10% contingency until bills are seen.</t>
  </si>
  <si>
    <t xml:space="preserve">Gas + electric</t>
  </si>
  <si>
    <t xml:space="preserve">Electric marked 'Inc'; confirm with bills.</t>
  </si>
  <si>
    <t xml:space="preserve">Repairs &amp; maintenance</t>
  </si>
  <si>
    <t xml:space="preserve">15-yr fleet; seller likely does own repairs unpaid.</t>
  </si>
  <si>
    <t xml:space="preserve">Insurance</t>
  </si>
  <si>
    <t xml:space="preserve">$240/mo is too low for property + GL + equipment breakdown.</t>
  </si>
  <si>
    <t xml:space="preserve">Card processing</t>
  </si>
  <si>
    <t xml:space="preserve">POS system &amp; cards</t>
  </si>
  <si>
    <t xml:space="preserve">W&amp;F supplies</t>
  </si>
  <si>
    <t xml:space="preserve">Vending COGS + dry cleaning cost</t>
  </si>
  <si>
    <t xml:space="preserve">Phone, alarm, trash</t>
  </si>
  <si>
    <t xml:space="preserve">Underwritten adds the $375/yr fire alarm noted on the P&amp;L.</t>
  </si>
  <si>
    <t xml:space="preserve">Accounting, tax &amp; legal</t>
  </si>
  <si>
    <t xml:space="preserve">Licenses &amp; fees</t>
  </si>
  <si>
    <t xml:space="preserve">Marketing</t>
  </si>
  <si>
    <t xml:space="preserve">Contingency</t>
  </si>
  <si>
    <t xml:space="preserve">1% of revenue.</t>
  </si>
  <si>
    <t xml:space="preserve">TOTAL EXPENSES</t>
  </si>
  <si>
    <t xml:space="preserve">Broker's lines add to $17,815/mo; the P&amp;L's TOTAL says $16,540.</t>
  </si>
  <si>
    <t xml:space="preserve">NET OPERATING INCOME (absentee)</t>
  </si>
  <si>
    <t xml:space="preserve">Broker's lines, added correctly: $162,420, not $177,720.</t>
  </si>
  <si>
    <t xml:space="preserve">P&amp;L TOTAL omits vending COGS, dry cleaning cost and card fees ($1,275/mo). Lines added correctly give $162,420.</t>
  </si>
  <si>
    <t xml:space="preserve">Note: underwritten Year 1 uses the selected capex scenario; under scenarios 2/3 new machines lift revenue and cut utilities/repairs.</t>
  </si>
  <si>
    <t xml:space="preserve">Implied price multiples</t>
  </si>
  <si>
    <t xml:space="preserve">Ask / broker's stated NOI</t>
  </si>
  <si>
    <t xml:space="preserve">Ask / underwritten NOI (absentee)</t>
  </si>
  <si>
    <t xml:space="preserve">Ask / underwritten SDE (Ryan works his hours)</t>
  </si>
  <si>
    <t xml:space="preserve">Ask / underwritten revenue</t>
  </si>
  <si>
    <t xml:space="preserve">Underwritten NOI after equipment reserve (avg. annual capex)</t>
  </si>
  <si>
    <t xml:space="preserve">Valuation: what is this store worth?</t>
  </si>
  <si>
    <t xml:space="preserve">Three approaches. Market multiples come from the Comps sheet and research/comps.md.</t>
  </si>
  <si>
    <t xml:space="preserve">Earnings bases (Year 1, underwritten)</t>
  </si>
  <si>
    <t xml:space="preserve">NOI, absentee (all hours paid)</t>
  </si>
  <si>
    <t xml:space="preserve">SDE, Ryan works his hours</t>
  </si>
  <si>
    <t xml:space="preserve">NOI after equipment reserve</t>
  </si>
  <si>
    <t xml:space="preserve">Broker's stated NOI</t>
  </si>
  <si>
    <t xml:space="preserve">1. Market approach: earnings x comparable multiples</t>
  </si>
  <si>
    <t xml:space="preserve">Multiple</t>
  </si>
  <si>
    <t xml:space="preserve">x</t>
  </si>
  <si>
    <t xml:space="preserve">x NOI</t>
  </si>
  <si>
    <t xml:space="preserve">x SDE</t>
  </si>
  <si>
    <t xml:space="preserve">x NOI after reserve</t>
  </si>
  <si>
    <t xml:space="preserve">Low (old fleet, NYC metro sold median less)</t>
  </si>
  <si>
    <t xml:space="preserve">Sources: underwriting/research/comps.md (BizBuySell Insight 855 deals; 28 NYC-metro listings; Laundromat Resource rules of thumb)</t>
  </si>
  <si>
    <t xml:space="preserve">Sold-listing median, NYC metro</t>
  </si>
  <si>
    <t xml:space="preserve">National closed-deal median (BizBuySell 2021-25)</t>
  </si>
  <si>
    <t xml:space="preserve">Rule of thumb, 15+ yr lease, low rent</t>
  </si>
  <si>
    <t xml:space="preserve">2. Income approach: price that still earns the target return</t>
  </si>
  <si>
    <t xml:space="preserve">Max price at pre-tax target return (absentee cash flows, selected capex)</t>
  </si>
  <si>
    <t xml:space="preserve">PV of Years 1-17 at the target, less Year-0 capex, closing costs and working capital.</t>
  </si>
  <si>
    <t xml:space="preserve">Max price at after-tax discount rate: structure A</t>
  </si>
  <si>
    <t xml:space="preserve">Ask + NPV (approx.; taxes held at the current price's allocation).</t>
  </si>
  <si>
    <t xml:space="preserve">Max price at after-tax discount rate: structure B</t>
  </si>
  <si>
    <t xml:space="preserve">Max price at after-tax discount rate: structure C</t>
  </si>
  <si>
    <t xml:space="preserve">Max price at after-tax discount rate: structure D</t>
  </si>
  <si>
    <t xml:space="preserve">3. Asset-light floor</t>
  </si>
  <si>
    <t xml:space="preserve">Used-equipment value + improvements (liquidation-ish floor)</t>
  </si>
  <si>
    <t xml:space="preserve">Conclusion</t>
  </si>
  <si>
    <t xml:space="preserve">Fair value range: 3.0x (low) to 3.5x (high) underwritten absentee NOI</t>
  </si>
  <si>
    <t xml:space="preserve">Suggested opening offer (3.0x absentee NOI, rounded)</t>
  </si>
  <si>
    <t xml:space="preserve">Walk-away price (3.5x absentee NOI, rounded)</t>
  </si>
  <si>
    <t xml:space="preserve">17-year projection (pre-tax, absentee basis: every staffed hour is paid)</t>
  </si>
  <si>
    <t xml:space="preserve">Year 0 = closing. Taxes by ownership structure are on the Structures sheet.</t>
  </si>
  <si>
    <t xml:space="preserve">Year</t>
  </si>
  <si>
    <t xml:space="preserve">Total 1-17</t>
  </si>
  <si>
    <t xml:space="preserve">Calendar year (assumed)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</si>
  <si>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</si>
  <si>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</si>
  <si>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</si>
  <si>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</si>
  <si>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</si>
  <si>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</si>
  <si>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</si>
  <si>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</si>
  <si>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</si>
  <si>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</si>
  <si>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</si>
  <si>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</si>
  <si>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</si>
  <si>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</si>
  <si>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</si>
  <si>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</si>
  <si>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</si>
  <si>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</si>
  <si>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Share of fleet new</t>
  </si>
  <si>
    <t xml:space="preserve">Years of growth (y-1)</t>
  </si>
  <si>
    <t xml:space="preserve">Self-serve wash &amp; dry</t>
  </si>
  <si>
    <t xml:space="preserve">W&amp;F pounds</t>
  </si>
  <si>
    <t xml:space="preserve">W&amp;F price per lb</t>
  </si>
  <si>
    <t xml:space="preserve">Wash-dry-fold (incl. pickup &amp; delivery)</t>
  </si>
  <si>
    <t xml:space="preserve">Ancillary (dry cleaning, ATM, vending, games), after haircut</t>
  </si>
  <si>
    <t xml:space="preserve">Delivery/commercial pounds</t>
  </si>
  <si>
    <t xml:space="preserve">Pickup/delivery + commercial wash-dry-fold</t>
  </si>
  <si>
    <t xml:space="preserve">Total revenue</t>
  </si>
  <si>
    <t xml:space="preserve">Rent (incl. NNN, CAM, sewer)</t>
  </si>
  <si>
    <t xml:space="preserve">Attendant wages</t>
  </si>
  <si>
    <t xml:space="preserve">Employer payroll taxes, workers' comp, sick leave</t>
  </si>
  <si>
    <t xml:space="preserve">Water</t>
  </si>
  <si>
    <t xml:space="preserve">Day-manager pay premium (after hand-off)</t>
  </si>
  <si>
    <t xml:space="preserve">Delivery program: processing labor</t>
  </si>
  <si>
    <t xml:space="preserve">Delivery program: supplies + utilities</t>
  </si>
  <si>
    <t xml:space="preserve">Delivery program: driver + vehicle</t>
  </si>
  <si>
    <t xml:space="preserve">Total operating expenses</t>
  </si>
  <si>
    <t xml:space="preserve">EBITDA / net operating income (absentee)</t>
  </si>
  <si>
    <t xml:space="preserve">EBITDA margin</t>
  </si>
  <si>
    <t xml:space="preserve">Ryan's hours per week in the store</t>
  </si>
  <si>
    <t xml:space="preserve">Value of Ryan's hours (wages + burden he replaces)</t>
  </si>
  <si>
    <t xml:space="preserve">Owner-operator cash flow (SDE) = EBITDA + Ryan's hours</t>
  </si>
  <si>
    <t xml:space="preserve">Capital and cash flow (pre-tax, unlevered)</t>
  </si>
  <si>
    <t xml:space="preserve">Purchase price + closing costs + working capital</t>
  </si>
  <si>
    <t xml:space="preserve">Equipment capex (selected scenario)</t>
  </si>
  <si>
    <t xml:space="preserve">Exit value (Year 17) + working capital returned</t>
  </si>
  <si>
    <t xml:space="preserve">Pre-tax cash flow (absentee)</t>
  </si>
  <si>
    <t xml:space="preserve">Cumulative pre-tax cash flow</t>
  </si>
  <si>
    <t xml:space="preserve">Pre-tax unlevered IRR (absentee)</t>
  </si>
  <si>
    <t xml:space="preserve">Year-1 cash-on-cash (EBITDA less Year-1 capex / total cash at close)</t>
  </si>
  <si>
    <t xml:space="preserve">Average annual capex over 17 years (reserve equivalent)</t>
  </si>
  <si>
    <t xml:space="preserve">After-tax cash flow by ownership structure (family level)</t>
  </si>
  <si>
    <t xml:space="preserve">A: Ryan owns (parents gift the cash), works 40 hrs/wk unpaid. D: Ryan owns, funded by an AFR loan, S-corp from Year 2. B: parents' LLC owns, parents passive, no other passive income; Ryan paid W-2 for his hours. C: same as B but parents have passive income and NJ partnership income to absorb losses. Structure advice is in the ownership thread.</t>
  </si>
  <si>
    <t xml:space="preserve">Common lines (from Projection and Depreciation)</t>
  </si>
  <si>
    <t xml:space="preserve">EBITDA (absentee)</t>
  </si>
  <si>
    <t xml:space="preserve">Value of Ryan's hours</t>
  </si>
  <si>
    <t xml:space="preserve">W-2 wages paid (all attendant hours)</t>
  </si>
  <si>
    <t xml:space="preserve">Federal depreciation &amp; amortization</t>
  </si>
  <si>
    <t xml:space="preserve">NJ depreciation &amp; amortization</t>
  </si>
  <si>
    <t xml:space="preserve">UBIA proxy</t>
  </si>
  <si>
    <t xml:space="preserve">Exit value in cash flow</t>
  </si>
  <si>
    <t xml:space="preserve">A. Ryan owns 100% (single-member LLC, materially participates)</t>
  </si>
  <si>
    <t xml:space="preserve">Net business income (EBITDA + Ryan's unpaid hours - federal depreciation)</t>
  </si>
  <si>
    <t xml:space="preserve">Self-employment tax</t>
  </si>
  <si>
    <t xml:space="preserve">QBI deduction (below threshold: 20%)</t>
  </si>
  <si>
    <t xml:space="preserve">Federal taxable income from the business</t>
  </si>
  <si>
    <t xml:space="preserve">Fed loss carryforward, start of year</t>
  </si>
  <si>
    <t xml:space="preserve">Fed carryforward used</t>
  </si>
  <si>
    <t xml:space="preserve">Fed loss used against other income</t>
  </si>
  <si>
    <t xml:space="preserve">Fed loss carryforward, end of year</t>
  </si>
  <si>
    <t xml:space="preserve">Fed tax (negative = tax saved on other income)</t>
  </si>
  <si>
    <t xml:space="preserve">NJ taxable income (EBITDA + Ryan's hours - NJ depreciation)</t>
  </si>
  <si>
    <t xml:space="preserve">NJ loss carryforward, start of year</t>
  </si>
  <si>
    <t xml:space="preserve">NJ carryforward used</t>
  </si>
  <si>
    <t xml:space="preserve">NJ loss used against other income</t>
  </si>
  <si>
    <t xml:space="preserve">NJ loss carryforward, end of year</t>
  </si>
  <si>
    <t xml:space="preserve">NJ tax (negative = tax saved on other income)</t>
  </si>
  <si>
    <t xml:space="preserve">Total tax (federal + SE + NJ)</t>
  </si>
  <si>
    <t xml:space="preserve">Family after-tax cash flow</t>
  </si>
  <si>
    <t xml:space="preserve">B. Parents' LLC owns 100%; parents passive with no other passive income; Ryan is a paid W-2 manager</t>
  </si>
  <si>
    <t xml:space="preserve">Net business income (EBITDA - federal depreciation)</t>
  </si>
  <si>
    <t xml:space="preserve">QBI deduction (above threshold: limited by W-2 wages / property)</t>
  </si>
  <si>
    <t xml:space="preserve">Fed (passive) loss carryforward, start of year</t>
  </si>
  <si>
    <t xml:space="preserve">Fed (passive) carryforward used</t>
  </si>
  <si>
    <t xml:space="preserve">Fed (passive) loss used against other income</t>
  </si>
  <si>
    <t xml:space="preserve">Fed (passive) loss carryforward, end of year</t>
  </si>
  <si>
    <t xml:space="preserve">Fed (passive) tax (negative = tax saved on other income)</t>
  </si>
  <si>
    <t xml:space="preserve">NJ taxable income (EBITDA - NJ depreciation)</t>
  </si>
  <si>
    <t xml:space="preserve">Total tax (parents)</t>
  </si>
  <si>
    <t xml:space="preserve">Ryan's after-tax wages for his hours (stays in the family)</t>
  </si>
  <si>
    <t xml:space="preserve">C. Parents' LLC owns 100%; parents passive but have passive + NJ partnership income to absorb losses</t>
  </si>
  <si>
    <t xml:space="preserve">D. Ryan's LLC owns 100%, funded by an AFR loan from parents; S-corp from SCorpYear (runner-up; structure E is in structure_e.py)</t>
  </si>
  <si>
    <t xml:space="preserve">Loan balance, start of year</t>
  </si>
  <si>
    <t xml:space="preserve">Interest paid to parents</t>
  </si>
  <si>
    <t xml:space="preserve">S-corp year? (1 = yes)</t>
  </si>
  <si>
    <t xml:space="preserve">Ryan's S-corp salary</t>
  </si>
  <si>
    <t xml:space="preserve">Business income before owner pay (EBITDA + Ryan's hours - fed depreciation - interest)</t>
  </si>
  <si>
    <t xml:space="preserve">Employer share of payroll tax on salary (deductible)</t>
  </si>
  <si>
    <t xml:space="preserve">SE tax (LLC year) or payroll tax on salary (S-corp years)</t>
  </si>
  <si>
    <t xml:space="preserve">QBI deduction (on profit after salary)</t>
  </si>
  <si>
    <t xml:space="preserve">Federal taxable income (salary + K-1)</t>
  </si>
  <si>
    <t xml:space="preserve">NJ taxable income</t>
  </si>
  <si>
    <t xml:space="preserve">Total tax (Ryan: federal + SE/payroll + NJ)</t>
  </si>
  <si>
    <t xml:space="preserve">Parents' after-tax interest received (stays in the family)</t>
  </si>
  <si>
    <t xml:space="preserve">Ryan's own after-tax cash flow (after interest to parents)</t>
  </si>
  <si>
    <t xml:space="preserve">Comparison</t>
  </si>
  <si>
    <t xml:space="preserve">Structure</t>
  </si>
  <si>
    <t xml:space="preserve">NPV @ discount rate</t>
  </si>
  <si>
    <t xml:space="preserve">After-tax IRR</t>
  </si>
  <si>
    <t xml:space="preserve">Total tax yrs 1-17</t>
  </si>
  <si>
    <t xml:space="preserve">Year-1 tax (neg = saving)</t>
  </si>
  <si>
    <t xml:space="preserve">Simplifications: marginal-rate method; NOLs used without the 80% limit; Ryan's QBI assumed below the threshold; SE tax ignores Ryan's other wages; exit taxed at one blended rate. Have a CPA run the final structure.</t>
  </si>
  <si>
    <t xml:space="preserve">Capex plan and depreciation (federal vs. state)</t>
  </si>
  <si>
    <t xml:space="preserve">Columns are years 0 (closing) to 17. Year-0 spend is placed in service in tax Year 1.</t>
  </si>
  <si>
    <t xml:space="preserve">Capex schedule by scenario (today's $; source: equipment thread capex_schedule.csv)</t>
  </si>
  <si>
    <t xml:space="preserve">1  Keep &amp; repair; replace as machines wear out (yr 4, yr 11)</t>
  </si>
  <si>
    <t xml:space="preserve">Source: capex_scenarios.json (2026-10-16)</t>
  </si>
  <si>
    <t xml:space="preserve">2  Washers at close; dryers as they wear out (yr 0, yr 11)</t>
  </si>
  <si>
    <t xml:space="preserve">3  Full retool at close (yr 0)</t>
  </si>
  <si>
    <t xml:space="preserve">4  Bear: fleet 3 yrs older than stated (yr 1, yr 8)</t>
  </si>
  <si>
    <t xml:space="preserve">Selected scenario capex (inflated)</t>
  </si>
  <si>
    <t xml:space="preserve">Share of fleet that is new (drives revenue lift, utilities, repairs)</t>
  </si>
  <si>
    <t xml:space="preserve">MACRS rate tables (half-year convention), by recovery year 1-20</t>
  </si>
  <si>
    <t xml:space="preserve">5-yr MACRS 200DB</t>
  </si>
  <si>
    <t xml:space="preserve">IRS Pub 946 Table A-1</t>
  </si>
  <si>
    <t xml:space="preserve">7-yr MACRS 200DB</t>
  </si>
  <si>
    <t xml:space="preserve">15-yr straight line (QIP)</t>
  </si>
  <si>
    <t xml:space="preserve">Machines: selected table</t>
  </si>
  <si>
    <t xml:space="preserve">Machines placed in service by tax year</t>
  </si>
  <si>
    <t xml:space="preserve">Machines placed in service (acquired fleet + capex)</t>
  </si>
  <si>
    <t xml:space="preserve">Federal: machines (bonus + MACRS)</t>
  </si>
  <si>
    <t xml:space="preserve">Vintage year 1</t>
  </si>
  <si>
    <t xml:space="preserve">Vintage year 2</t>
  </si>
  <si>
    <t xml:space="preserve">Vintage year 3</t>
  </si>
  <si>
    <t xml:space="preserve">Vintage year 4</t>
  </si>
  <si>
    <t xml:space="preserve">Vintage year 5</t>
  </si>
  <si>
    <t xml:space="preserve">Vintage year 6</t>
  </si>
  <si>
    <t xml:space="preserve">Vintage year 7</t>
  </si>
  <si>
    <t xml:space="preserve">Vintage year 8</t>
  </si>
  <si>
    <t xml:space="preserve">Vintage year 9</t>
  </si>
  <si>
    <t xml:space="preserve">Vintage year 10</t>
  </si>
  <si>
    <t xml:space="preserve">Vintage year 11</t>
  </si>
  <si>
    <t xml:space="preserve">Vintage year 12</t>
  </si>
  <si>
    <t xml:space="preserve">Vintage year 13</t>
  </si>
  <si>
    <t xml:space="preserve">Vintage year 14</t>
  </si>
  <si>
    <t xml:space="preserve">Vintage year 15</t>
  </si>
  <si>
    <t xml:space="preserve">Vintage year 16</t>
  </si>
  <si>
    <t xml:space="preserve">Vintage year 17</t>
  </si>
  <si>
    <t xml:space="preserve">Total machine depreciation (FED)</t>
  </si>
  <si>
    <t xml:space="preserve">State (NJ rules): machines (Sec. 179 cap + MACRS, no bonus)</t>
  </si>
  <si>
    <t xml:space="preserve">Total machine depreciation (NJ)</t>
  </si>
  <si>
    <t xml:space="preserve">Leasehold improvements and Sec. 197 intangibles</t>
  </si>
  <si>
    <t xml:space="preserve">Federal: leasehold improvements (QIP, bonus)</t>
  </si>
  <si>
    <t xml:space="preserve">NJ: leasehold improvements (15-yr SL)</t>
  </si>
  <si>
    <t xml:space="preserve">Goodwill + non-compete + closing costs (15-yr, both)</t>
  </si>
  <si>
    <t xml:space="preserve">TOTAL FEDERAL depreciation &amp; amortization</t>
  </si>
  <si>
    <t xml:space="preserve">TOTAL NJ depreciation &amp; amortization</t>
  </si>
  <si>
    <t xml:space="preserve">Cumulative depreciable property (UBIA proxy for QBI wage/property test)</t>
  </si>
  <si>
    <t xml:space="preserve">Check: federal total over 17 yrs vs. state total (should match once fully recovered)</t>
  </si>
  <si>
    <t xml:space="preserve">Comparable laundromat listings and sales</t>
  </si>
  <si>
    <t xml:space="preserve">Asking prices unless noted. 'Sold*' = broker marked sold; closing price not disclosed. Full table: /mnt/project-files/underwriting/research/comps.md</t>
  </si>
  <si>
    <t xml:space="preserve">Location</t>
  </si>
  <si>
    <t xml:space="preserve">Price</t>
  </si>
  <si>
    <t xml:space="preserve">Gross</t>
  </si>
  <si>
    <t xml:space="preserve">Cash flow</t>
  </si>
  <si>
    <t xml:space="preserve">P/CF</t>
  </si>
  <si>
    <t xml:space="preserve">P/Gross</t>
  </si>
  <si>
    <t xml:space="preserve">Notes</t>
  </si>
  <si>
    <t xml:space="preserve">Status</t>
  </si>
  <si>
    <t xml:space="preserve">Source</t>
  </si>
  <si>
    <t xml:space="preserve">Jersey City (SUBJECT, broker figures)</t>
  </si>
  <si>
    <t xml:space="preserve">~2,000 sf; 33W/36D ~15 yr; 17 yr lease, $2,758/mo</t>
  </si>
  <si>
    <t xml:space="preserve">Asking</t>
  </si>
  <si>
    <t xml:space="preserve">https://www.bizbuysell.com/business-opportunity/profitable-laundromat-run-absentee-high-revenue-jersey-city-nj-450k/2564518/</t>
  </si>
  <si>
    <t xml:space="preserve">Hudson County, NJ</t>
  </si>
  <si>
    <t xml:space="preserve">48 machines, energy-efficient</t>
  </si>
  <si>
    <t xml:space="preserve">Sold*</t>
  </si>
  <si>
    <t xml:space="preserve">https://www.hedgestone.com/business-opportunity/63086/profitable-absentee-run-laundromat-for-sale-in-new-jersey/</t>
  </si>
  <si>
    <t xml:space="preserve">Hudson County, NJ (downtown)</t>
  </si>
  <si>
    <t xml:space="preserve">15W/16D; ~5.5 yr lease left</t>
  </si>
  <si>
    <t xml:space="preserve">https://www.vestedbb.com/very-successful-laundromat-for-sale-in-hudson-county-new-jersey-listing-id-7091</t>
  </si>
  <si>
    <t xml:space="preserve">Bayonne, NJ</t>
  </si>
  <si>
    <t xml:space="preserve">Search-page figures only</t>
  </si>
  <si>
    <t xml:space="preserve">https://www.bizbuysell.com/business-opportunity/laundromat-in-great-location-excellent-potential-bayonne-nj-179-000/2556056/</t>
  </si>
  <si>
    <t xml:space="preserve">Bergen County, NJ (plaza)</t>
  </si>
  <si>
    <t xml:space="preserve">4,000 sf; 50W/52D 3-7 yr; lease to 2041; rent 24%</t>
  </si>
  <si>
    <t xml:space="preserve">https://www.bizbuysell.com/business-opportunity/4-000-sf-laundromat-for-sale-busy-shopping-plaza-with-parking/2521410/</t>
  </si>
  <si>
    <t xml:space="preserve">Union County, NJ</t>
  </si>
  <si>
    <t xml:space="preserve">2,800 sf; 41W/46D</t>
  </si>
  <si>
    <t xml:space="preserve">https://www.hedgestone.com/business-opportunity/62794/coin-operated-new-jersey-laundromat-for-sale/</t>
  </si>
  <si>
    <t xml:space="preserve">Bergen County, NJ</t>
  </si>
  <si>
    <t xml:space="preserve">https://www.vestedbb.com/great-laundromat-for-sale-in-bergen-county-new-jersey-listing-id-7167</t>
  </si>
  <si>
    <t xml:space="preserve">Ridgefield Park, NJ (24-hr)</t>
  </si>
  <si>
    <t xml:space="preserve">n/a</t>
  </si>
  <si>
    <t xml:space="preserve">Unattended</t>
  </si>
  <si>
    <t xml:space="preserve">https://www.bizbuysell.com/business-opportunity/stress-free-absentee-laundromat-open-24-hours/2560849/</t>
  </si>
  <si>
    <t xml:space="preserve">Paterson, NJ</t>
  </si>
  <si>
    <t xml:space="preserve">20-25 yr equipment; '2x net'</t>
  </si>
  <si>
    <t xml:space="preserve">https://www.laundromat-broker.com/listings.html</t>
  </si>
  <si>
    <t xml:space="preserve">South NJ (near Waterford)</t>
  </si>
  <si>
    <t xml:space="preserve">19 mo lease left</t>
  </si>
  <si>
    <t xml:space="preserve">Sold* 2025</t>
  </si>
  <si>
    <t xml:space="preserve">Bronx, NY (same broker template)</t>
  </si>
  <si>
    <t xml:space="preserve">32W/34D 11-12 yr; 3 yr lease</t>
  </si>
  <si>
    <t xml:space="preserve">https://www.bizbuysell.com/business-opportunity/absentee-and-high-volume-laundromat-excellent-profit-bronx-ny-450k/2564395/</t>
  </si>
  <si>
    <t xml:space="preserve">Park Slope, Brooklyn</t>
  </si>
  <si>
    <t xml:space="preserve">Newer equipment, long lease</t>
  </si>
  <si>
    <t xml:space="preserve">https://www.bizbuysell.com/new-york/new-york-city-metro-area/laundromats-and-coin-laundry-businesses-for-sale/</t>
  </si>
  <si>
    <t xml:space="preserve">Queens (prime)</t>
  </si>
  <si>
    <t xml:space="preserve">64 machines; new 10-yr lease</t>
  </si>
  <si>
    <t xml:space="preserve">Prospect Park 11226</t>
  </si>
  <si>
    <t xml:space="preserve">75 machines; 12 yr lease</t>
  </si>
  <si>
    <t xml:space="preserve">Brooklyn 11219</t>
  </si>
  <si>
    <t xml:space="preserve">41 machines; 15-yr lease option</t>
  </si>
  <si>
    <t xml:space="preserve">Median of comps (excl. subject)</t>
  </si>
  <si>
    <t xml:space="preserve">Benchmarks</t>
  </si>
  <si>
    <t xml:space="preserve">BizBuySell national closed deals 2021-25 (n=855): median price/SDE</t>
  </si>
  <si>
    <t xml:space="preserve">3.50x (IQR 2.72-4.50x); 2025 avg 4.12x</t>
  </si>
  <si>
    <t xml:space="preserve">BizBuySell national: median price/revenue</t>
  </si>
  <si>
    <t xml:space="preserve">1.21x; sale price ~92% of ask</t>
  </si>
  <si>
    <t xml:space="preserve">NYC-metro asking, Oct 2026 (n=28): median price/cash flow</t>
  </si>
  <si>
    <t xml:space="preserve">3.5x (range 1.45-7.0x)</t>
  </si>
  <si>
    <t xml:space="preserve">Laundromat Resource rule of thumb: 13-16 yr equipment</t>
  </si>
  <si>
    <t xml:space="preserve">3.5-4.0x NOI</t>
  </si>
  <si>
    <t xml:space="preserve">Laundromat Resource rule of thumb: 15+ yr lease; rent &lt;=25% of gross</t>
  </si>
  <si>
    <t xml:space="preserve">4.5-5.0x NOI</t>
  </si>
  <si>
    <t xml:space="preserve">Utilities, % of gross (2023 operator survey)</t>
  </si>
  <si>
    <t xml:space="preserve">21.6% avg; ~15% with new machines</t>
  </si>
  <si>
    <t xml:space="preserve">BizBuySell EDGE, NJ laundromat listings: revenue (25th / median / 75th pct)</t>
  </si>
  <si>
    <t xml:space="preserve">$172K / $312K / $495K (listing PDF, 10/14/2026)</t>
  </si>
  <si>
    <t xml:space="preserve">BizBuySell EDGE, NJ laundromat listings: SDE (25th / median / 75th pct)</t>
  </si>
  <si>
    <t xml:space="preserve">$62.5K / $107K / $246K</t>
  </si>
  <si>
    <t xml:space="preserve">BizBuySell EDGE, operating NJ laundromats 2024 averages</t>
  </si>
  <si>
    <t xml:space="preserve">Revenue $570K; SDE $127K; EBITDA $81K (14% of revenue)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</si>
</sst>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#,##0;\(#,##0\);\-"/>
    <numFmt numFmtId="167" formatCode="0.00\x"/>
    <numFmt numFmtId="168" formatCode="0.0%;\(0.0%\);\-"/>
    <numFmt numFmtId="169" formatCode="\$#,##0;&quot;($&quot;#,##0\)"/>
    <numFmt numFmtId="170" formatCode="0.0%"/>
    <numFmt numFmtId="171" formatCode="\$#,##0.00;&quot;($&quot;#,##0.00\);\-"/>
    <numFmt numFmtId="172" formatCode="0"/>
    <numFmt numFmtId="173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6" min="3" style="0" width="16"/>
    <col collapsed="false" customWidth="true" hidden="false" outlineLevel="0" max="9" min="7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7.35" hidden="false" customHeight="false" outlineLevel="0" collapsed="false">
      <c r="A2" s="1"/>
      <c r="B2" s="2" t="s">
        <v>0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15" hidden="false" customHeight="false" outlineLevel="0" collapsed="false">
      <c r="A5" s="1"/>
      <c r="B5" s="4" t="s">
        <v>2</v>
      </c>
      <c r="C5" s="5"/>
      <c r="D5" s="5"/>
      <c r="E5" s="5"/>
      <c r="F5" s="5"/>
    </row>
    <row r="6" customFormat="false" ht="15" hidden="false" customHeight="false" outlineLevel="0" collapsed="false">
      <c r="A6" s="1"/>
      <c r="B6" s="6" t="s">
        <v>3</v>
      </c>
      <c r="C6" s="7" t="n">
        <f aca="false">Price</f>
        <v>450000</v>
      </c>
      <c r="D6" s="1"/>
      <c r="E6" s="1"/>
      <c r="F6" s="1"/>
    </row>
    <row r="7" customFormat="false" ht="15" hidden="false" customHeight="false" outlineLevel="0" collapsed="false">
      <c r="A7" s="1"/>
      <c r="B7" s="6" t="s">
        <v>4</v>
      </c>
      <c r="C7" s="7" t="n">
        <f aca="false">TotalInvest</f>
        <v>480000</v>
      </c>
      <c r="D7" s="1"/>
      <c r="E7" s="1"/>
      <c r="F7" s="1"/>
    </row>
    <row r="8" customFormat="false" ht="15" hidden="false" customHeight="false" outlineLevel="0" collapsed="false">
      <c r="A8" s="1"/>
      <c r="B8" s="6" t="s">
        <v>5</v>
      </c>
      <c r="C8" s="8" t="n">
        <f aca="false">CapexScenario</f>
        <v>1</v>
      </c>
      <c r="D8" s="1"/>
      <c r="E8" s="1"/>
      <c r="F8" s="1"/>
    </row>
    <row r="9" customFormat="false" ht="15" hidden="false" customHeight="false" outlineLevel="0" collapsed="false">
      <c r="A9" s="1"/>
      <c r="B9" s="6" t="s">
        <v>6</v>
      </c>
      <c r="C9" s="7" t="n">
        <f aca="false">-SUM(Projection!C53:T53)</f>
        <v>655956.02361888</v>
      </c>
      <c r="D9" s="1"/>
      <c r="E9" s="1"/>
      <c r="F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</row>
    <row r="11" customFormat="false" ht="15" hidden="false" customHeight="false" outlineLevel="0" collapsed="false">
      <c r="A11" s="1"/>
      <c r="B11" s="4" t="s">
        <v>7</v>
      </c>
      <c r="C11" s="5"/>
      <c r="D11" s="5"/>
      <c r="E11" s="5"/>
      <c r="F11" s="5"/>
    </row>
    <row r="12" customFormat="false" ht="15" hidden="false" customHeight="false" outlineLevel="0" collapsed="false">
      <c r="A12" s="1"/>
      <c r="B12" s="9"/>
      <c r="C12" s="9" t="s">
        <v>8</v>
      </c>
      <c r="D12" s="9" t="s">
        <v>9</v>
      </c>
      <c r="E12" s="9" t="s">
        <v>10</v>
      </c>
      <c r="F12" s="1"/>
    </row>
    <row r="13" customFormat="false" ht="15" hidden="false" customHeight="false" outlineLevel="0" collapsed="false">
      <c r="A13" s="1"/>
      <c r="B13" s="6" t="s">
        <v>11</v>
      </c>
      <c r="C13" s="7" t="n">
        <f aca="false">'Seller Recast'!C9</f>
        <v>376200</v>
      </c>
      <c r="D13" s="7" t="n">
        <f aca="false">'Seller Recast'!D9</f>
        <v>370170</v>
      </c>
      <c r="E13" s="7" t="n">
        <f aca="false">'Seller Recast'!E9</f>
        <v>-6030</v>
      </c>
      <c r="F13" s="1"/>
    </row>
    <row r="14" customFormat="false" ht="15" hidden="false" customHeight="false" outlineLevel="0" collapsed="false">
      <c r="A14" s="1"/>
      <c r="B14" s="6" t="s">
        <v>12</v>
      </c>
      <c r="C14" s="7" t="n">
        <f aca="false">'Seller Recast'!C28</f>
        <v>213780</v>
      </c>
      <c r="D14" s="7" t="n">
        <f aca="false">'Seller Recast'!D28</f>
        <v>262202.9</v>
      </c>
      <c r="E14" s="7" t="n">
        <f aca="false">'Seller Recast'!E28</f>
        <v>48422.9</v>
      </c>
      <c r="F14" s="1"/>
    </row>
    <row r="15" customFormat="false" ht="15" hidden="false" customHeight="false" outlineLevel="0" collapsed="false">
      <c r="A15" s="1"/>
      <c r="B15" s="6" t="s">
        <v>13</v>
      </c>
      <c r="C15" s="7" t="n">
        <f aca="false">'Seller Recast'!C29</f>
        <v>162420</v>
      </c>
      <c r="D15" s="7" t="n">
        <f aca="false">'Seller Recast'!D29</f>
        <v>107967.1</v>
      </c>
      <c r="E15" s="7" t="n">
        <f aca="false">'Seller Recast'!E29</f>
        <v>-54452.9</v>
      </c>
      <c r="F15" s="1"/>
    </row>
    <row r="16" customFormat="false" ht="15" hidden="false" customHeight="false" outlineLevel="0" collapsed="false">
      <c r="A16" s="1"/>
      <c r="B16" s="6" t="s">
        <v>14</v>
      </c>
      <c r="C16" s="7" t="n">
        <f aca="false">'Seller Recast'!C31</f>
        <v>177720</v>
      </c>
      <c r="D16" s="1"/>
      <c r="E16" s="1"/>
      <c r="F16" s="1"/>
    </row>
    <row r="17" customFormat="false" ht="15" hidden="false" customHeight="false" outlineLevel="0" collapsed="false">
      <c r="A17" s="1"/>
      <c r="B17" s="6" t="s">
        <v>15</v>
      </c>
      <c r="C17" s="1"/>
      <c r="D17" s="7" t="n">
        <f aca="false">Projection!D49</f>
        <v>150191.1</v>
      </c>
      <c r="E17" s="1"/>
      <c r="F17" s="1"/>
    </row>
    <row r="18" customFormat="false" ht="15" hidden="false" customHeight="false" outlineLevel="0" collapsed="false">
      <c r="A18" s="1"/>
      <c r="B18" s="6" t="s">
        <v>16</v>
      </c>
      <c r="C18" s="1"/>
      <c r="D18" s="7" t="n">
        <f aca="false">'Seller Recast'!D40</f>
        <v>69381.4515518305</v>
      </c>
      <c r="E18" s="1"/>
      <c r="F18" s="1"/>
    </row>
    <row r="19" customFormat="false" ht="15" hidden="false" customHeight="false" outlineLevel="0" collapsed="false">
      <c r="A19" s="1"/>
      <c r="B19" s="6" t="s">
        <v>17</v>
      </c>
      <c r="C19" s="1"/>
      <c r="D19" s="10" t="n">
        <f aca="false">Price/'Seller Recast'!D29</f>
        <v>4.16793634357133</v>
      </c>
      <c r="E19" s="1"/>
      <c r="F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</row>
    <row r="21" customFormat="false" ht="15" hidden="false" customHeight="false" outlineLevel="0" collapsed="false">
      <c r="A21" s="1"/>
      <c r="B21" s="4" t="s">
        <v>18</v>
      </c>
      <c r="C21" s="5"/>
      <c r="D21" s="5"/>
      <c r="E21" s="5"/>
      <c r="F21" s="5"/>
    </row>
    <row r="22" customFormat="false" ht="15" hidden="false" customHeight="false" outlineLevel="0" collapsed="false">
      <c r="A22" s="1"/>
      <c r="B22" s="6" t="s">
        <v>19</v>
      </c>
      <c r="C22" s="11" t="n">
        <f aca="false">Projection!C58</f>
        <v>0.17525464874132</v>
      </c>
      <c r="D22" s="1"/>
      <c r="E22" s="1"/>
      <c r="F22" s="1"/>
    </row>
    <row r="23" customFormat="false" ht="15" hidden="false" customHeight="false" outlineLevel="0" collapsed="false">
      <c r="A23" s="1"/>
      <c r="B23" s="6" t="s">
        <v>20</v>
      </c>
      <c r="C23" s="11" t="n">
        <f aca="false">Projection!C59</f>
        <v>0.224931458333333</v>
      </c>
      <c r="D23" s="1"/>
      <c r="E23" s="1"/>
      <c r="F23" s="1"/>
    </row>
    <row r="24" customFormat="false" ht="15" hidden="false" customHeight="false" outlineLevel="0" collapsed="false">
      <c r="A24" s="1"/>
      <c r="B24" s="9" t="s">
        <v>21</v>
      </c>
      <c r="C24" s="9" t="s">
        <v>22</v>
      </c>
      <c r="D24" s="9" t="s">
        <v>23</v>
      </c>
      <c r="E24" s="9" t="s">
        <v>24</v>
      </c>
      <c r="F24" s="9" t="s">
        <v>25</v>
      </c>
    </row>
    <row r="25" customFormat="false" ht="15" hidden="false" customHeight="false" outlineLevel="0" collapsed="false">
      <c r="A25" s="1"/>
      <c r="B25" s="6" t="s">
        <v>26</v>
      </c>
      <c r="C25" s="7" t="n">
        <f aca="false">Structures!C101</f>
        <v>388418.09638908</v>
      </c>
      <c r="D25" s="11" t="n">
        <f aca="false">Structures!D101</f>
        <v>0.191494621231187</v>
      </c>
      <c r="E25" s="7" t="n">
        <f aca="false">Structures!E101</f>
        <v>935027.655162667</v>
      </c>
      <c r="F25" s="7" t="n">
        <f aca="false">Structures!F101</f>
        <v>17890.2009445523</v>
      </c>
    </row>
    <row r="26" customFormat="false" ht="15" hidden="false" customHeight="false" outlineLevel="0" collapsed="false">
      <c r="A26" s="1"/>
      <c r="B26" s="6" t="s">
        <v>27</v>
      </c>
      <c r="C26" s="7" t="n">
        <f aca="false">Structures!C102</f>
        <v>353962.617199581</v>
      </c>
      <c r="D26" s="11" t="n">
        <f aca="false">Structures!D102</f>
        <v>0.183007192640707</v>
      </c>
      <c r="E26" s="7" t="n">
        <f aca="false">Structures!E102</f>
        <v>589953.965375842</v>
      </c>
      <c r="F26" s="7" t="n">
        <f aca="false">Structures!F102</f>
        <v>4437.19887</v>
      </c>
    </row>
    <row r="27" customFormat="false" ht="15" hidden="false" customHeight="false" outlineLevel="0" collapsed="false">
      <c r="A27" s="1"/>
      <c r="B27" s="6" t="s">
        <v>28</v>
      </c>
      <c r="C27" s="7" t="n">
        <f aca="false">Structures!C103</f>
        <v>371078.756871451</v>
      </c>
      <c r="D27" s="11" t="n">
        <f aca="false">Structures!D103</f>
        <v>0.190666260676698</v>
      </c>
      <c r="E27" s="7" t="n">
        <f aca="false">Structures!E103</f>
        <v>589953.965375842</v>
      </c>
      <c r="F27" s="7" t="n">
        <f aca="false">Structures!F103</f>
        <v>3335.77566999999</v>
      </c>
    </row>
    <row r="28" customFormat="false" ht="15" hidden="false" customHeight="false" outlineLevel="0" collapsed="false">
      <c r="A28" s="1"/>
      <c r="B28" s="6" t="s">
        <v>29</v>
      </c>
      <c r="C28" s="7" t="n">
        <f aca="false">Structures!C104</f>
        <v>402532.119049142</v>
      </c>
      <c r="D28" s="11" t="n">
        <f aca="false">Structures!D104</f>
        <v>0.191960490437409</v>
      </c>
      <c r="E28" s="7" t="n">
        <f aca="false">Structures!E104</f>
        <v>784109.289193245</v>
      </c>
      <c r="F28" s="7" t="n">
        <f aca="false">Structures!F104</f>
        <v>9394.85846175226</v>
      </c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</row>
    <row r="30" customFormat="false" ht="15" hidden="false" customHeight="false" outlineLevel="0" collapsed="false">
      <c r="A30" s="1"/>
      <c r="B30" s="4" t="s">
        <v>30</v>
      </c>
      <c r="C30" s="5"/>
      <c r="D30" s="5"/>
      <c r="E30" s="5"/>
      <c r="F30" s="5"/>
    </row>
    <row r="31" customFormat="false" ht="15" hidden="false" customHeight="false" outlineLevel="0" collapsed="false">
      <c r="A31" s="1"/>
      <c r="B31" s="6" t="s">
        <v>31</v>
      </c>
      <c r="C31" s="7" t="n">
        <f aca="false">Valuation!C29</f>
        <v>323901.3</v>
      </c>
      <c r="D31" s="1"/>
      <c r="E31" s="1"/>
      <c r="F31" s="1"/>
    </row>
    <row r="32" customFormat="false" ht="15" hidden="false" customHeight="false" outlineLevel="0" collapsed="false">
      <c r="A32" s="1"/>
      <c r="B32" s="6" t="s">
        <v>32</v>
      </c>
      <c r="C32" s="7" t="n">
        <f aca="false">Valuation!D29</f>
        <v>377884.85</v>
      </c>
      <c r="D32" s="1"/>
      <c r="E32" s="1"/>
      <c r="F32" s="1"/>
    </row>
    <row r="33" customFormat="false" ht="15" hidden="false" customHeight="false" outlineLevel="0" collapsed="false">
      <c r="A33" s="1"/>
      <c r="B33" s="6" t="s">
        <v>33</v>
      </c>
      <c r="C33" s="7" t="n">
        <f aca="false">Valuation!C19</f>
        <v>536926.076700706</v>
      </c>
      <c r="D33" s="1"/>
      <c r="E33" s="1"/>
      <c r="F33" s="1"/>
    </row>
    <row r="34" customFormat="false" ht="15" hidden="false" customHeight="false" outlineLevel="0" collapsed="false">
      <c r="A34" s="1"/>
      <c r="B34" s="6" t="s">
        <v>34</v>
      </c>
      <c r="C34" s="7" t="n">
        <f aca="false">Valuation!C31</f>
        <v>320000</v>
      </c>
      <c r="D34" s="1"/>
      <c r="E34" s="1"/>
      <c r="F34" s="1"/>
    </row>
    <row r="35" customFormat="false" ht="15" hidden="false" customHeight="false" outlineLevel="0" collapsed="false">
      <c r="A35" s="1"/>
      <c r="B35" s="6" t="s">
        <v>35</v>
      </c>
      <c r="C35" s="7" t="n">
        <f aca="false">Valuation!C32</f>
        <v>380000</v>
      </c>
      <c r="D35" s="1"/>
      <c r="E35" s="1"/>
      <c r="F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</row>
    <row r="37" customFormat="false" ht="15" hidden="false" customHeight="false" outlineLevel="0" collapsed="false">
      <c r="A37" s="1"/>
      <c r="B37" s="4" t="s">
        <v>36</v>
      </c>
      <c r="C37" s="5"/>
      <c r="D37" s="5"/>
      <c r="E37" s="5"/>
      <c r="F37" s="5"/>
    </row>
    <row r="38" customFormat="false" ht="15" hidden="false" customHeight="false" outlineLevel="0" collapsed="false">
      <c r="B38" s="9" t="s">
        <v>37</v>
      </c>
      <c r="C38" s="9" t="s">
        <v>38</v>
      </c>
      <c r="D38" s="9" t="s">
        <v>39</v>
      </c>
      <c r="E38" s="9" t="s">
        <v>40</v>
      </c>
      <c r="F38" s="9" t="s">
        <v>41</v>
      </c>
      <c r="G38" s="9" t="s">
        <v>42</v>
      </c>
      <c r="H38" s="9" t="s">
        <v>43</v>
      </c>
      <c r="I38" s="9" t="s">
        <v>44</v>
      </c>
    </row>
    <row r="39" customFormat="false" ht="15" hidden="false" customHeight="false" outlineLevel="0" collapsed="false">
      <c r="B39" s="12" t="s">
        <v>45</v>
      </c>
      <c r="C39" s="13" t="n">
        <v>107967.1</v>
      </c>
      <c r="D39" s="14" t="n">
        <v>0.17525464874132</v>
      </c>
      <c r="E39" s="13" t="n">
        <v>388418.09638908</v>
      </c>
      <c r="F39" s="14" t="n">
        <v>0.191494621231187</v>
      </c>
      <c r="G39" s="13" t="n">
        <v>353962.617199581</v>
      </c>
      <c r="H39" s="13" t="n">
        <v>371078.756871451</v>
      </c>
      <c r="I39" s="13" t="n">
        <v>402532.119049142</v>
      </c>
    </row>
    <row r="40" customFormat="false" ht="15" hidden="false" customHeight="false" outlineLevel="0" collapsed="false">
      <c r="B40" s="12" t="s">
        <v>46</v>
      </c>
      <c r="C40" s="13" t="n">
        <v>107967.1</v>
      </c>
      <c r="D40" s="14" t="n">
        <v>0.193502044095293</v>
      </c>
      <c r="E40" s="13" t="n">
        <v>429483.791416901</v>
      </c>
      <c r="F40" s="14" t="n">
        <v>0.210521593917784</v>
      </c>
      <c r="G40" s="13" t="n">
        <v>393738.087991934</v>
      </c>
      <c r="H40" s="13" t="n">
        <v>410132.197131983</v>
      </c>
      <c r="I40" s="13" t="n">
        <v>446056.202112163</v>
      </c>
    </row>
    <row r="41" customFormat="false" ht="15" hidden="false" customHeight="false" outlineLevel="0" collapsed="false">
      <c r="B41" s="12" t="s">
        <v>47</v>
      </c>
      <c r="C41" s="13" t="n">
        <v>107967.1</v>
      </c>
      <c r="D41" s="14" t="n">
        <v>0.210940511686343</v>
      </c>
      <c r="E41" s="13" t="n">
        <v>462336.347439158</v>
      </c>
      <c r="F41" s="14" t="n">
        <v>0.22887458442548</v>
      </c>
      <c r="G41" s="13" t="n">
        <v>425645.850268131</v>
      </c>
      <c r="H41" s="13" t="n">
        <v>441535.156351318</v>
      </c>
      <c r="I41" s="13" t="n">
        <v>480875.46856258</v>
      </c>
    </row>
    <row r="42" customFormat="false" ht="15" hidden="false" customHeight="false" outlineLevel="0" collapsed="false">
      <c r="B42" s="12" t="s">
        <v>48</v>
      </c>
      <c r="C42" s="13" t="n">
        <v>125681.38696434</v>
      </c>
      <c r="D42" s="14" t="n">
        <v>0.153010223350698</v>
      </c>
      <c r="E42" s="13" t="n">
        <v>351994.015641098</v>
      </c>
      <c r="F42" s="14" t="n">
        <v>0.162148130340296</v>
      </c>
      <c r="G42" s="13" t="n">
        <v>325340.317209923</v>
      </c>
      <c r="H42" s="13" t="n">
        <v>349952.928562192</v>
      </c>
      <c r="I42" s="13" t="n">
        <v>378453.276915903</v>
      </c>
    </row>
    <row r="43" customFormat="false" ht="15" hidden="false" customHeight="false" outlineLevel="0" collapsed="false">
      <c r="B43" s="12" t="s">
        <v>49</v>
      </c>
      <c r="C43" s="13" t="n">
        <v>137141.26</v>
      </c>
      <c r="D43" s="14" t="n">
        <v>0.145311535615842</v>
      </c>
      <c r="E43" s="13" t="n">
        <v>333913.450036948</v>
      </c>
      <c r="F43" s="14" t="n">
        <v>0.149387240807677</v>
      </c>
      <c r="G43" s="13" t="n">
        <v>313843.606127901</v>
      </c>
      <c r="H43" s="13" t="n">
        <v>345893.606594296</v>
      </c>
      <c r="I43" s="13" t="n">
        <v>377794.177457424</v>
      </c>
    </row>
    <row r="44" customFormat="false" ht="15" hidden="false" customHeight="false" outlineLevel="0" collapsed="false">
      <c r="B44" s="12" t="s">
        <v>50</v>
      </c>
      <c r="C44" s="13" t="n">
        <v>107967.1</v>
      </c>
      <c r="D44" s="14" t="n">
        <v>0.155934120221046</v>
      </c>
      <c r="E44" s="13" t="n">
        <v>363555.8366867</v>
      </c>
      <c r="F44" s="14" t="n">
        <v>0.167872360181561</v>
      </c>
      <c r="G44" s="13" t="n">
        <v>340594.44938998</v>
      </c>
      <c r="H44" s="13" t="n">
        <v>368394.490905577</v>
      </c>
      <c r="I44" s="13" t="n">
        <v>391693.205195354</v>
      </c>
    </row>
    <row r="45" customFormat="false" ht="15" hidden="false" customHeight="false" outlineLevel="0" collapsed="false">
      <c r="B45" s="12" t="s">
        <v>51</v>
      </c>
      <c r="C45" s="13" t="n">
        <v>93711.1</v>
      </c>
      <c r="D45" s="14" t="n">
        <v>0.146288335181743</v>
      </c>
      <c r="E45" s="13" t="n">
        <v>299019.951118458</v>
      </c>
      <c r="F45" s="14" t="n">
        <v>0.171026304052889</v>
      </c>
      <c r="G45" s="13" t="n">
        <v>271285.47351907</v>
      </c>
      <c r="H45" s="13" t="n">
        <v>292063.53210537</v>
      </c>
      <c r="I45" s="13" t="n">
        <v>299868.173944039</v>
      </c>
    </row>
    <row r="46" customFormat="false" ht="15" hidden="false" customHeight="false" outlineLevel="0" collapsed="false">
      <c r="B46" s="12" t="s">
        <v>52</v>
      </c>
      <c r="C46" s="13" t="n">
        <v>75543.58</v>
      </c>
      <c r="D46" s="14" t="n">
        <v>0.10378068008721</v>
      </c>
      <c r="E46" s="13" t="n">
        <v>170160.149742663</v>
      </c>
      <c r="F46" s="14" t="n">
        <v>0.141402316572108</v>
      </c>
      <c r="G46" s="13" t="n">
        <v>149259.431245918</v>
      </c>
      <c r="H46" s="13" t="n">
        <v>177502.702012187</v>
      </c>
      <c r="I46" s="13" t="n">
        <v>150340.180135644</v>
      </c>
    </row>
    <row r="47" customFormat="false" ht="15" hidden="false" customHeight="false" outlineLevel="0" collapsed="false">
      <c r="B47" s="12" t="s">
        <v>53</v>
      </c>
      <c r="C47" s="13" t="n">
        <v>107967.1</v>
      </c>
      <c r="D47" s="14" t="n">
        <v>0.17525464874132</v>
      </c>
      <c r="E47" s="13" t="n">
        <v>363971.779426551</v>
      </c>
      <c r="F47" s="14" t="n">
        <v>0.182999631185994</v>
      </c>
      <c r="G47" s="13" t="n">
        <v>332791.053563217</v>
      </c>
      <c r="H47" s="13" t="n">
        <v>349907.193235088</v>
      </c>
      <c r="I47" s="13" t="n">
        <v>376307.568011341</v>
      </c>
    </row>
    <row r="48" customFormat="false" ht="15" hidden="false" customHeight="false" outlineLevel="0" collapsed="false">
      <c r="B48" s="12" t="s">
        <v>54</v>
      </c>
      <c r="C48" s="13" t="n">
        <v>107967.1</v>
      </c>
      <c r="D48" s="14" t="n">
        <v>0.168555612292741</v>
      </c>
      <c r="E48" s="13" t="n">
        <v>347647.948969638</v>
      </c>
      <c r="F48" s="14" t="n">
        <v>0.187246065787418</v>
      </c>
      <c r="G48" s="13" t="n">
        <v>313192.469780139</v>
      </c>
      <c r="H48" s="13" t="n">
        <v>330308.60945201</v>
      </c>
      <c r="I48" s="13" t="n">
        <v>361761.971629701</v>
      </c>
    </row>
    <row r="49" customFormat="false" ht="15" hidden="false" customHeight="false" outlineLevel="0" collapsed="false">
      <c r="B49" s="12" t="s">
        <v>55</v>
      </c>
      <c r="C49" s="13" t="n">
        <v>107967.1</v>
      </c>
      <c r="D49" s="14" t="n">
        <v>0.15448053273579</v>
      </c>
      <c r="E49" s="13" t="n">
        <v>123517.999046604</v>
      </c>
      <c r="F49" s="14" t="n">
        <v>0.130481470325755</v>
      </c>
      <c r="G49" s="13" t="n">
        <v>124098.95353485</v>
      </c>
      <c r="H49" s="13" t="n">
        <v>143750.039015011</v>
      </c>
      <c r="I49" s="13" t="n">
        <v>93959.4489994863</v>
      </c>
    </row>
    <row r="50" customFormat="false" ht="15" hidden="false" customHeight="false" outlineLevel="0" collapsed="false">
      <c r="B50" s="12" t="s">
        <v>56</v>
      </c>
      <c r="C50" s="13" t="n">
        <v>54956.08</v>
      </c>
      <c r="D50" s="14" t="n">
        <v>-0.0355233484712399</v>
      </c>
      <c r="E50" s="13" t="n">
        <v>-434432.018928126</v>
      </c>
      <c r="F50" s="14" t="n">
        <v>-0.00907007077833465</v>
      </c>
      <c r="G50" s="13" t="n">
        <v>-466194.469668419</v>
      </c>
      <c r="H50" s="13" t="n">
        <v>-321789.981661653</v>
      </c>
      <c r="I50" s="13" t="n">
        <v>-546970.48601538</v>
      </c>
    </row>
    <row r="51" customFormat="false" ht="15" hidden="false" customHeight="false" outlineLevel="0" collapsed="false">
      <c r="B51" s="12" t="s">
        <v>57</v>
      </c>
      <c r="C51" s="13" t="n">
        <v>107967.1</v>
      </c>
      <c r="D51" s="14" t="n">
        <v>0.15448053273579</v>
      </c>
      <c r="E51" s="13" t="n">
        <v>123517.999046604</v>
      </c>
      <c r="F51" s="14" t="n">
        <v>0.130481470325755</v>
      </c>
      <c r="G51" s="13" t="n">
        <v>124098.95353485</v>
      </c>
      <c r="H51" s="13" t="n">
        <v>143750.039015011</v>
      </c>
      <c r="I51" s="13" t="n">
        <v>93959.4489994863</v>
      </c>
    </row>
    <row r="52" customFormat="false" ht="15" hidden="false" customHeight="false" outlineLevel="0" collapsed="false">
      <c r="B52" s="12" t="s">
        <v>58</v>
      </c>
      <c r="C52" s="13" t="n">
        <v>133372.16</v>
      </c>
      <c r="D52" s="14" t="n">
        <v>0.276485400966234</v>
      </c>
      <c r="E52" s="13" t="n">
        <v>611239.741055775</v>
      </c>
      <c r="F52" s="14" t="n">
        <v>0.224476228847431</v>
      </c>
      <c r="G52" s="13" t="n">
        <v>574451.083101893</v>
      </c>
      <c r="H52" s="13" t="n">
        <v>583657.005874504</v>
      </c>
      <c r="I52" s="13" t="n">
        <v>651002.443481416</v>
      </c>
    </row>
    <row r="53" customFormat="false" ht="15" hidden="false" customHeight="false" outlineLevel="0" collapsed="false">
      <c r="B53" s="12" t="s">
        <v>59</v>
      </c>
      <c r="C53" s="13" t="n">
        <v>94767.1</v>
      </c>
      <c r="D53" s="14" t="n">
        <v>0.148444668229677</v>
      </c>
      <c r="E53" s="13" t="n">
        <v>305659.544144197</v>
      </c>
      <c r="F53" s="14" t="n">
        <v>0.172555847649542</v>
      </c>
      <c r="G53" s="13" t="n">
        <v>277501.214655762</v>
      </c>
      <c r="H53" s="13" t="n">
        <v>297944.466658597</v>
      </c>
      <c r="I53" s="13" t="n">
        <v>307481.711657139</v>
      </c>
    </row>
    <row r="54" customFormat="false" ht="15" hidden="false" customHeight="false" outlineLevel="0" collapsed="false">
      <c r="B54" s="12" t="s">
        <v>60</v>
      </c>
      <c r="C54" s="13" t="n">
        <v>107967.1</v>
      </c>
      <c r="D54" s="14" t="n">
        <v>0.214876366537776</v>
      </c>
      <c r="E54" s="13" t="n">
        <v>342067.523023055</v>
      </c>
      <c r="F54" s="14" t="n">
        <v>0.17756663862479</v>
      </c>
      <c r="G54" s="13" t="n">
        <v>324464.015361639</v>
      </c>
      <c r="H54" s="13" t="n">
        <v>336724.055027592</v>
      </c>
      <c r="I54" s="13" t="n">
        <v>347417.981779512</v>
      </c>
    </row>
    <row r="55" customFormat="false" ht="15" hidden="false" customHeight="false" outlineLevel="0" collapsed="false">
      <c r="B55" s="12" t="s">
        <v>61</v>
      </c>
      <c r="C55" s="13" t="n">
        <v>161998.2</v>
      </c>
      <c r="D55" s="14" t="n">
        <v>0.285082722340518</v>
      </c>
      <c r="E55" s="13" t="n">
        <v>672383.711006532</v>
      </c>
      <c r="F55" s="14" t="n">
        <v>0.256163274298336</v>
      </c>
      <c r="G55" s="13" t="n">
        <v>647983.373942536</v>
      </c>
      <c r="H55" s="13" t="n">
        <v>657739.908454222</v>
      </c>
      <c r="I55" s="13" t="n">
        <v>727817.492957321</v>
      </c>
    </row>
    <row r="56" customFormat="false" ht="15" hidden="false" customHeight="false" outlineLevel="0" collapsed="false">
      <c r="B56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17.35" hidden="false" customHeight="false" outlineLevel="0" collapsed="false">
      <c r="A2" s="1"/>
      <c r="B2" s="2" t="s">
        <v>63</v>
      </c>
      <c r="C2" s="1"/>
      <c r="D2" s="1"/>
    </row>
    <row r="3" customFormat="false" ht="15" hidden="false" customHeight="false" outlineLevel="0" collapsed="false">
      <c r="A3" s="1"/>
      <c r="B3" s="3" t="s">
        <v>64</v>
      </c>
      <c r="C3" s="1"/>
      <c r="D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15" hidden="false" customHeight="false" outlineLevel="0" collapsed="false">
      <c r="A5" s="1"/>
      <c r="B5" s="1"/>
      <c r="C5" s="1"/>
      <c r="D5" s="1"/>
    </row>
    <row r="6" customFormat="false" ht="15" hidden="false" customHeight="false" outlineLevel="0" collapsed="false">
      <c r="A6" s="1"/>
      <c r="B6" s="4" t="s">
        <v>2</v>
      </c>
      <c r="C6" s="5"/>
      <c r="D6" s="5"/>
    </row>
    <row r="7" customFormat="false" ht="15" hidden="false" customHeight="false" outlineLevel="0" collapsed="false">
      <c r="A7" s="1"/>
      <c r="B7" s="6" t="s">
        <v>65</v>
      </c>
      <c r="C7" s="15" t="n">
        <v>450000</v>
      </c>
      <c r="D7" s="3" t="s">
        <v>66</v>
      </c>
    </row>
    <row r="8" customFormat="false" ht="15" hidden="false" customHeight="false" outlineLevel="0" collapsed="false">
      <c r="A8" s="1"/>
      <c r="B8" s="6" t="s">
        <v>67</v>
      </c>
      <c r="C8" s="16" t="n">
        <v>20000</v>
      </c>
      <c r="D8" s="3" t="s">
        <v>68</v>
      </c>
    </row>
    <row r="9" customFormat="false" ht="15" hidden="false" customHeight="false" outlineLevel="0" collapsed="false">
      <c r="A9" s="1"/>
      <c r="B9" s="6" t="s">
        <v>69</v>
      </c>
      <c r="C9" s="16" t="n">
        <v>10000</v>
      </c>
      <c r="D9" s="3" t="s">
        <v>70</v>
      </c>
    </row>
    <row r="10" customFormat="false" ht="15" hidden="false" customHeight="false" outlineLevel="0" collapsed="false">
      <c r="A10" s="1"/>
      <c r="B10" s="6" t="s">
        <v>71</v>
      </c>
      <c r="C10" s="15" t="n">
        <v>60000</v>
      </c>
      <c r="D10" s="3" t="s">
        <v>72</v>
      </c>
    </row>
    <row r="11" customFormat="false" ht="15" hidden="false" customHeight="false" outlineLevel="0" collapsed="false">
      <c r="A11" s="1"/>
      <c r="B11" s="6" t="s">
        <v>73</v>
      </c>
      <c r="C11" s="16" t="n">
        <v>25000</v>
      </c>
      <c r="D11" s="3" t="s">
        <v>74</v>
      </c>
    </row>
    <row r="12" customFormat="false" ht="15" hidden="false" customHeight="false" outlineLevel="0" collapsed="false">
      <c r="A12" s="1"/>
      <c r="B12" s="6" t="s">
        <v>75</v>
      </c>
      <c r="C12" s="16" t="n">
        <v>15000</v>
      </c>
      <c r="D12" s="3" t="s">
        <v>76</v>
      </c>
    </row>
    <row r="13" customFormat="false" ht="15" hidden="false" customHeight="false" outlineLevel="0" collapsed="false">
      <c r="A13" s="1"/>
      <c r="B13" s="1"/>
      <c r="C13" s="1"/>
      <c r="D13" s="1"/>
    </row>
    <row r="14" customFormat="false" ht="15" hidden="false" customHeight="false" outlineLevel="0" collapsed="false">
      <c r="A14" s="1"/>
      <c r="B14" s="4" t="s">
        <v>77</v>
      </c>
      <c r="C14" s="5"/>
      <c r="D14" s="5"/>
    </row>
    <row r="15" customFormat="false" ht="15" hidden="false" customHeight="false" outlineLevel="0" collapsed="false">
      <c r="A15" s="1"/>
      <c r="B15" s="6" t="s">
        <v>78</v>
      </c>
      <c r="C15" s="15" t="n">
        <v>216000</v>
      </c>
      <c r="D15" s="3" t="s">
        <v>79</v>
      </c>
    </row>
    <row r="16" customFormat="false" ht="15" hidden="false" customHeight="false" outlineLevel="0" collapsed="false">
      <c r="A16" s="1"/>
      <c r="B16" s="6" t="s">
        <v>80</v>
      </c>
      <c r="C16" s="17" t="n">
        <v>8000</v>
      </c>
      <c r="D16" s="3" t="s">
        <v>81</v>
      </c>
    </row>
    <row r="17" customFormat="false" ht="15" hidden="false" customHeight="false" outlineLevel="0" collapsed="false">
      <c r="A17" s="1"/>
      <c r="B17" s="6" t="s">
        <v>82</v>
      </c>
      <c r="C17" s="18" t="n">
        <v>1.25</v>
      </c>
      <c r="D17" s="3" t="s">
        <v>83</v>
      </c>
    </row>
    <row r="18" customFormat="false" ht="15" hidden="false" customHeight="false" outlineLevel="0" collapsed="false">
      <c r="A18" s="1"/>
      <c r="B18" s="6" t="s">
        <v>84</v>
      </c>
      <c r="C18" s="19" t="n">
        <v>1.5</v>
      </c>
      <c r="D18" s="3" t="s">
        <v>85</v>
      </c>
    </row>
    <row r="19" customFormat="false" ht="15" hidden="false" customHeight="false" outlineLevel="0" collapsed="false">
      <c r="A19" s="1"/>
      <c r="B19" s="6" t="s">
        <v>86</v>
      </c>
      <c r="C19" s="17" t="n">
        <v>2</v>
      </c>
      <c r="D19" s="3" t="s">
        <v>87</v>
      </c>
    </row>
    <row r="20" customFormat="false" ht="15" hidden="false" customHeight="false" outlineLevel="0" collapsed="false">
      <c r="A20" s="1"/>
      <c r="B20" s="6" t="s">
        <v>88</v>
      </c>
      <c r="C20" s="20" t="n">
        <v>0.1</v>
      </c>
      <c r="D20" s="3" t="s">
        <v>87</v>
      </c>
    </row>
    <row r="21" customFormat="false" ht="15" hidden="false" customHeight="false" outlineLevel="0" collapsed="false">
      <c r="A21" s="1"/>
      <c r="B21" s="6" t="s">
        <v>89</v>
      </c>
      <c r="C21" s="16" t="n">
        <v>6000</v>
      </c>
      <c r="D21" s="3" t="s">
        <v>90</v>
      </c>
    </row>
    <row r="22" customFormat="false" ht="15" hidden="false" customHeight="false" outlineLevel="0" collapsed="false">
      <c r="A22" s="1"/>
      <c r="B22" s="6" t="s">
        <v>91</v>
      </c>
      <c r="C22" s="16" t="n">
        <v>6000</v>
      </c>
      <c r="D22" s="3" t="s">
        <v>92</v>
      </c>
    </row>
    <row r="23" customFormat="false" ht="15" hidden="false" customHeight="false" outlineLevel="0" collapsed="false">
      <c r="A23" s="1"/>
      <c r="B23" s="6" t="s">
        <v>93</v>
      </c>
      <c r="C23" s="16" t="n">
        <v>15000</v>
      </c>
      <c r="D23" s="3" t="s">
        <v>94</v>
      </c>
    </row>
    <row r="24" customFormat="false" ht="15" hidden="false" customHeight="false" outlineLevel="0" collapsed="false">
      <c r="A24" s="1"/>
      <c r="B24" s="6" t="s">
        <v>95</v>
      </c>
      <c r="C24" s="16" t="n">
        <v>7200</v>
      </c>
      <c r="D24" s="3" t="s">
        <v>96</v>
      </c>
    </row>
    <row r="25" customFormat="false" ht="15" hidden="false" customHeight="false" outlineLevel="0" collapsed="false">
      <c r="A25" s="1"/>
      <c r="B25" s="6" t="s">
        <v>97</v>
      </c>
      <c r="C25" s="16" t="n">
        <v>6000</v>
      </c>
      <c r="D25" s="3" t="s">
        <v>98</v>
      </c>
    </row>
    <row r="26" customFormat="false" ht="15" hidden="false" customHeight="false" outlineLevel="0" collapsed="false">
      <c r="A26" s="1"/>
      <c r="B26" s="6" t="s">
        <v>99</v>
      </c>
      <c r="C26" s="21" t="n">
        <v>0.85</v>
      </c>
      <c r="D26" s="3" t="s">
        <v>100</v>
      </c>
    </row>
    <row r="27" customFormat="false" ht="15" hidden="false" customHeight="false" outlineLevel="0" collapsed="false">
      <c r="A27" s="1"/>
      <c r="B27" s="6" t="s">
        <v>101</v>
      </c>
      <c r="C27" s="20" t="n">
        <v>0.03</v>
      </c>
      <c r="D27" s="3" t="s">
        <v>102</v>
      </c>
    </row>
    <row r="28" customFormat="false" ht="15" hidden="false" customHeight="false" outlineLevel="0" collapsed="false">
      <c r="A28" s="1"/>
      <c r="B28" s="6" t="s">
        <v>103</v>
      </c>
      <c r="C28" s="20" t="n">
        <v>0.03</v>
      </c>
      <c r="D28" s="3" t="s">
        <v>87</v>
      </c>
    </row>
    <row r="29" customFormat="false" ht="15" hidden="false" customHeight="false" outlineLevel="0" collapsed="false">
      <c r="A29" s="1"/>
      <c r="B29" s="6" t="s">
        <v>104</v>
      </c>
      <c r="C29" s="20" t="n">
        <v>0.02</v>
      </c>
      <c r="D29" s="3" t="s">
        <v>87</v>
      </c>
    </row>
    <row r="30" customFormat="false" ht="15" hidden="false" customHeight="false" outlineLevel="0" collapsed="false">
      <c r="A30" s="1"/>
      <c r="B30" s="6" t="s">
        <v>105</v>
      </c>
      <c r="C30" s="20" t="n">
        <v>0.05</v>
      </c>
      <c r="D30" s="3" t="s">
        <v>106</v>
      </c>
    </row>
    <row r="31" customFormat="false" ht="15" hidden="false" customHeight="false" outlineLevel="0" collapsed="false">
      <c r="A31" s="1"/>
      <c r="B31" s="1"/>
      <c r="C31" s="1"/>
      <c r="D31" s="1"/>
    </row>
    <row r="32" customFormat="false" ht="15" hidden="false" customHeight="false" outlineLevel="0" collapsed="false">
      <c r="A32" s="1"/>
      <c r="B32" s="4" t="s">
        <v>107</v>
      </c>
      <c r="C32" s="5"/>
      <c r="D32" s="5"/>
    </row>
    <row r="33" customFormat="false" ht="15" hidden="false" customHeight="false" outlineLevel="0" collapsed="false">
      <c r="A33" s="1"/>
      <c r="B33" s="6" t="s">
        <v>108</v>
      </c>
      <c r="C33" s="15" t="n">
        <v>33096</v>
      </c>
      <c r="D33" s="3" t="s">
        <v>109</v>
      </c>
    </row>
    <row r="34" customFormat="false" ht="15" hidden="false" customHeight="false" outlineLevel="0" collapsed="false">
      <c r="A34" s="1"/>
      <c r="B34" s="6" t="s">
        <v>110</v>
      </c>
      <c r="C34" s="20" t="n">
        <v>0.03</v>
      </c>
      <c r="D34" s="3" t="s">
        <v>111</v>
      </c>
    </row>
    <row r="35" customFormat="false" ht="15" hidden="false" customHeight="false" outlineLevel="0" collapsed="false">
      <c r="A35" s="1"/>
      <c r="B35" s="6" t="s">
        <v>112</v>
      </c>
      <c r="C35" s="17" t="n">
        <v>91</v>
      </c>
      <c r="D35" s="3" t="s">
        <v>113</v>
      </c>
    </row>
    <row r="36" customFormat="false" ht="15" hidden="false" customHeight="false" outlineLevel="0" collapsed="false">
      <c r="A36" s="1"/>
      <c r="B36" s="6" t="s">
        <v>114</v>
      </c>
      <c r="C36" s="19" t="n">
        <v>17.5</v>
      </c>
      <c r="D36" s="3" t="s">
        <v>115</v>
      </c>
    </row>
    <row r="37" customFormat="false" ht="15" hidden="false" customHeight="false" outlineLevel="0" collapsed="false">
      <c r="A37" s="1"/>
      <c r="B37" s="6" t="s">
        <v>116</v>
      </c>
      <c r="C37" s="20" t="n">
        <v>0.035</v>
      </c>
      <c r="D37" s="3" t="s">
        <v>117</v>
      </c>
    </row>
    <row r="38" customFormat="false" ht="15" hidden="false" customHeight="false" outlineLevel="0" collapsed="false">
      <c r="A38" s="1"/>
      <c r="B38" s="6" t="s">
        <v>118</v>
      </c>
      <c r="C38" s="20" t="n">
        <v>0.16</v>
      </c>
      <c r="D38" s="3" t="s">
        <v>119</v>
      </c>
    </row>
    <row r="39" customFormat="false" ht="15" hidden="false" customHeight="false" outlineLevel="0" collapsed="false">
      <c r="A39" s="1"/>
      <c r="B39" s="6" t="s">
        <v>120</v>
      </c>
      <c r="C39" s="16" t="n">
        <v>32400</v>
      </c>
      <c r="D39" s="3" t="s">
        <v>121</v>
      </c>
    </row>
    <row r="40" customFormat="false" ht="15" hidden="false" customHeight="false" outlineLevel="0" collapsed="false">
      <c r="A40" s="1"/>
      <c r="B40" s="6" t="s">
        <v>122</v>
      </c>
      <c r="C40" s="15" t="n">
        <v>32400</v>
      </c>
      <c r="D40" s="3" t="s">
        <v>123</v>
      </c>
    </row>
    <row r="41" customFormat="false" ht="15" hidden="false" customHeight="false" outlineLevel="0" collapsed="false">
      <c r="A41" s="1"/>
      <c r="B41" s="6" t="s">
        <v>124</v>
      </c>
      <c r="C41" s="15" t="n">
        <v>0</v>
      </c>
      <c r="D41" s="3" t="s">
        <v>125</v>
      </c>
    </row>
    <row r="42" customFormat="false" ht="15" hidden="false" customHeight="false" outlineLevel="0" collapsed="false">
      <c r="A42" s="1"/>
      <c r="B42" s="6" t="s">
        <v>126</v>
      </c>
      <c r="C42" s="20" t="n">
        <v>0.1</v>
      </c>
      <c r="D42" s="3" t="s">
        <v>127</v>
      </c>
    </row>
    <row r="43" customFormat="false" ht="15" hidden="false" customHeight="false" outlineLevel="0" collapsed="false">
      <c r="A43" s="1"/>
      <c r="B43" s="6" t="s">
        <v>128</v>
      </c>
      <c r="C43" s="20" t="n">
        <v>0.04</v>
      </c>
      <c r="D43" s="3" t="s">
        <v>129</v>
      </c>
    </row>
    <row r="44" customFormat="false" ht="15" hidden="false" customHeight="false" outlineLevel="0" collapsed="false">
      <c r="A44" s="1"/>
      <c r="B44" s="6" t="s">
        <v>130</v>
      </c>
      <c r="C44" s="20" t="n">
        <v>0.2</v>
      </c>
      <c r="D44" s="3" t="s">
        <v>131</v>
      </c>
    </row>
    <row r="45" customFormat="false" ht="15" hidden="false" customHeight="false" outlineLevel="0" collapsed="false">
      <c r="A45" s="1"/>
      <c r="B45" s="6" t="s">
        <v>132</v>
      </c>
      <c r="C45" s="16" t="n">
        <v>12000</v>
      </c>
      <c r="D45" s="3" t="s">
        <v>133</v>
      </c>
    </row>
    <row r="46" customFormat="false" ht="15" hidden="false" customHeight="false" outlineLevel="0" collapsed="false">
      <c r="A46" s="1"/>
      <c r="B46" s="6" t="s">
        <v>134</v>
      </c>
      <c r="C46" s="20" t="n">
        <v>0.08</v>
      </c>
      <c r="D46" s="3" t="s">
        <v>135</v>
      </c>
    </row>
    <row r="47" customFormat="false" ht="15" hidden="false" customHeight="false" outlineLevel="0" collapsed="false">
      <c r="A47" s="1"/>
      <c r="B47" s="6" t="s">
        <v>136</v>
      </c>
      <c r="C47" s="20" t="n">
        <v>0.02</v>
      </c>
      <c r="D47" s="3" t="s">
        <v>137</v>
      </c>
    </row>
    <row r="48" customFormat="false" ht="15" hidden="false" customHeight="false" outlineLevel="0" collapsed="false">
      <c r="A48" s="1"/>
      <c r="B48" s="6" t="s">
        <v>138</v>
      </c>
      <c r="C48" s="16" t="n">
        <v>7500</v>
      </c>
      <c r="D48" s="3" t="s">
        <v>139</v>
      </c>
    </row>
    <row r="49" customFormat="false" ht="15" hidden="false" customHeight="false" outlineLevel="0" collapsed="false">
      <c r="A49" s="1"/>
      <c r="B49" s="6" t="s">
        <v>140</v>
      </c>
      <c r="C49" s="20" t="n">
        <v>0.0143</v>
      </c>
      <c r="D49" s="3" t="s">
        <v>141</v>
      </c>
    </row>
    <row r="50" customFormat="false" ht="15" hidden="false" customHeight="false" outlineLevel="0" collapsed="false">
      <c r="A50" s="1"/>
      <c r="B50" s="6" t="s">
        <v>142</v>
      </c>
      <c r="C50" s="16" t="n">
        <v>6600</v>
      </c>
      <c r="D50" s="3" t="s">
        <v>143</v>
      </c>
    </row>
    <row r="51" customFormat="false" ht="15" hidden="false" customHeight="false" outlineLevel="0" collapsed="false">
      <c r="A51" s="1"/>
      <c r="B51" s="6" t="s">
        <v>144</v>
      </c>
      <c r="C51" s="18" t="n">
        <v>0.0375</v>
      </c>
      <c r="D51" s="3" t="s">
        <v>145</v>
      </c>
    </row>
    <row r="52" customFormat="false" ht="15" hidden="false" customHeight="false" outlineLevel="0" collapsed="false">
      <c r="A52" s="1"/>
      <c r="B52" s="6" t="s">
        <v>146</v>
      </c>
      <c r="C52" s="20" t="n">
        <v>0.34</v>
      </c>
      <c r="D52" s="3" t="s">
        <v>147</v>
      </c>
    </row>
    <row r="53" customFormat="false" ht="15" hidden="false" customHeight="false" outlineLevel="0" collapsed="false">
      <c r="A53" s="1"/>
      <c r="B53" s="6" t="s">
        <v>148</v>
      </c>
      <c r="C53" s="20" t="n">
        <v>0.5</v>
      </c>
      <c r="D53" s="3" t="s">
        <v>149</v>
      </c>
    </row>
    <row r="54" customFormat="false" ht="15" hidden="false" customHeight="false" outlineLevel="0" collapsed="false">
      <c r="A54" s="1"/>
      <c r="B54" s="6" t="s">
        <v>150</v>
      </c>
      <c r="C54" s="16" t="n">
        <v>2595</v>
      </c>
      <c r="D54" s="3" t="s">
        <v>151</v>
      </c>
    </row>
    <row r="55" customFormat="false" ht="15" hidden="false" customHeight="false" outlineLevel="0" collapsed="false">
      <c r="A55" s="1"/>
      <c r="B55" s="6" t="s">
        <v>152</v>
      </c>
      <c r="C55" s="16" t="n">
        <v>1800</v>
      </c>
      <c r="D55" s="3" t="s">
        <v>153</v>
      </c>
    </row>
    <row r="56" customFormat="false" ht="15" hidden="false" customHeight="false" outlineLevel="0" collapsed="false">
      <c r="A56" s="1"/>
      <c r="B56" s="6" t="s">
        <v>154</v>
      </c>
      <c r="C56" s="16" t="n">
        <v>5000</v>
      </c>
      <c r="D56" s="3" t="s">
        <v>155</v>
      </c>
    </row>
    <row r="57" customFormat="false" ht="15" hidden="false" customHeight="false" outlineLevel="0" collapsed="false">
      <c r="A57" s="1"/>
      <c r="B57" s="6" t="s">
        <v>156</v>
      </c>
      <c r="C57" s="16" t="n">
        <v>1000</v>
      </c>
      <c r="D57" s="3" t="s">
        <v>157</v>
      </c>
    </row>
    <row r="58" customFormat="false" ht="15" hidden="false" customHeight="false" outlineLevel="0" collapsed="false">
      <c r="A58" s="1"/>
      <c r="B58" s="6" t="s">
        <v>158</v>
      </c>
      <c r="C58" s="16" t="n">
        <v>1200</v>
      </c>
      <c r="D58" s="3" t="s">
        <v>159</v>
      </c>
    </row>
    <row r="59" customFormat="false" ht="15" hidden="false" customHeight="false" outlineLevel="0" collapsed="false">
      <c r="A59" s="1"/>
      <c r="B59" s="6" t="s">
        <v>160</v>
      </c>
      <c r="C59" s="16" t="n">
        <v>3000</v>
      </c>
      <c r="D59" s="3" t="s">
        <v>157</v>
      </c>
    </row>
    <row r="60" customFormat="false" ht="15" hidden="false" customHeight="false" outlineLevel="0" collapsed="false">
      <c r="A60" s="1"/>
      <c r="B60" s="6" t="s">
        <v>161</v>
      </c>
      <c r="C60" s="20" t="n">
        <v>0.01</v>
      </c>
      <c r="D60" s="3" t="s">
        <v>162</v>
      </c>
    </row>
    <row r="61" customFormat="false" ht="15" hidden="false" customHeight="false" outlineLevel="0" collapsed="false">
      <c r="A61" s="1"/>
      <c r="B61" s="6" t="s">
        <v>163</v>
      </c>
      <c r="C61" s="20" t="n">
        <v>0.03</v>
      </c>
      <c r="D61" s="3" t="s">
        <v>87</v>
      </c>
    </row>
    <row r="62" customFormat="false" ht="15" hidden="false" customHeight="false" outlineLevel="0" collapsed="false">
      <c r="A62" s="1"/>
      <c r="B62" s="1"/>
      <c r="C62" s="1"/>
      <c r="D62" s="1"/>
    </row>
    <row r="63" customFormat="false" ht="15" hidden="false" customHeight="false" outlineLevel="0" collapsed="false">
      <c r="A63" s="1"/>
      <c r="B63" s="4" t="s">
        <v>164</v>
      </c>
      <c r="C63" s="5"/>
      <c r="D63" s="5"/>
    </row>
    <row r="64" customFormat="false" ht="15" hidden="false" customHeight="false" outlineLevel="0" collapsed="false">
      <c r="A64" s="1"/>
      <c r="B64" s="6" t="s">
        <v>165</v>
      </c>
      <c r="C64" s="22" t="n">
        <v>40</v>
      </c>
      <c r="D64" s="3" t="s">
        <v>166</v>
      </c>
    </row>
    <row r="65" customFormat="false" ht="15" hidden="false" customHeight="false" outlineLevel="0" collapsed="false">
      <c r="A65" s="1"/>
      <c r="B65" s="1"/>
      <c r="C65" s="1"/>
      <c r="D65" s="1"/>
    </row>
    <row r="66" customFormat="false" ht="15" hidden="false" customHeight="false" outlineLevel="0" collapsed="false">
      <c r="A66" s="1"/>
      <c r="B66" s="4" t="s">
        <v>167</v>
      </c>
      <c r="C66" s="5"/>
      <c r="D66" s="5"/>
    </row>
    <row r="67" customFormat="false" ht="15" hidden="false" customHeight="false" outlineLevel="0" collapsed="false">
      <c r="A67" s="1"/>
      <c r="B67" s="6" t="s">
        <v>168</v>
      </c>
      <c r="C67" s="17" t="n">
        <v>2</v>
      </c>
      <c r="D67" s="3" t="s">
        <v>169</v>
      </c>
    </row>
    <row r="68" customFormat="false" ht="15" hidden="false" customHeight="false" outlineLevel="0" collapsed="false">
      <c r="A68" s="1"/>
      <c r="B68" s="6" t="s">
        <v>170</v>
      </c>
      <c r="C68" s="22" t="n">
        <v>40</v>
      </c>
      <c r="D68" s="3" t="s">
        <v>171</v>
      </c>
    </row>
    <row r="69" customFormat="false" ht="15" hidden="false" customHeight="false" outlineLevel="0" collapsed="false">
      <c r="A69" s="1"/>
      <c r="B69" s="6" t="s">
        <v>172</v>
      </c>
      <c r="C69" s="17" t="n">
        <v>0</v>
      </c>
      <c r="D69" s="3" t="s">
        <v>173</v>
      </c>
    </row>
    <row r="70" customFormat="false" ht="15" hidden="false" customHeight="false" outlineLevel="0" collapsed="false">
      <c r="A70" s="1"/>
      <c r="B70" s="6" t="s">
        <v>174</v>
      </c>
      <c r="C70" s="18" t="n">
        <v>4.5</v>
      </c>
      <c r="D70" s="3" t="s">
        <v>175</v>
      </c>
    </row>
    <row r="71" customFormat="false" ht="15" hidden="false" customHeight="false" outlineLevel="0" collapsed="false">
      <c r="A71" s="1"/>
      <c r="B71" s="6" t="s">
        <v>176</v>
      </c>
      <c r="C71" s="17" t="n">
        <v>2</v>
      </c>
      <c r="D71" s="3" t="s">
        <v>87</v>
      </c>
    </row>
    <row r="72" customFormat="false" ht="15" hidden="false" customHeight="false" outlineLevel="0" collapsed="false">
      <c r="A72" s="1"/>
      <c r="B72" s="6" t="s">
        <v>177</v>
      </c>
      <c r="C72" s="22" t="n">
        <v>0</v>
      </c>
      <c r="D72" s="3" t="s">
        <v>178</v>
      </c>
    </row>
    <row r="73" customFormat="false" ht="15" hidden="false" customHeight="false" outlineLevel="0" collapsed="false">
      <c r="A73" s="1"/>
      <c r="B73" s="6" t="s">
        <v>179</v>
      </c>
      <c r="C73" s="22" t="n">
        <v>0</v>
      </c>
      <c r="D73" s="3" t="s">
        <v>180</v>
      </c>
    </row>
    <row r="74" customFormat="false" ht="15" hidden="false" customHeight="false" outlineLevel="0" collapsed="false">
      <c r="A74" s="1"/>
      <c r="B74" s="6" t="s">
        <v>181</v>
      </c>
      <c r="C74" s="18" t="n">
        <v>1.95</v>
      </c>
      <c r="D74" s="3" t="s">
        <v>182</v>
      </c>
    </row>
    <row r="75" customFormat="false" ht="15" hidden="false" customHeight="false" outlineLevel="0" collapsed="false">
      <c r="A75" s="1"/>
      <c r="B75" s="6" t="s">
        <v>183</v>
      </c>
      <c r="C75" s="17" t="n">
        <v>30</v>
      </c>
      <c r="D75" s="3" t="s">
        <v>184</v>
      </c>
    </row>
    <row r="76" customFormat="false" ht="15" hidden="false" customHeight="false" outlineLevel="0" collapsed="false">
      <c r="A76" s="1"/>
      <c r="B76" s="6" t="s">
        <v>185</v>
      </c>
      <c r="C76" s="20" t="n">
        <v>0.6</v>
      </c>
      <c r="D76" s="3" t="s">
        <v>186</v>
      </c>
    </row>
    <row r="77" customFormat="false" ht="15" hidden="false" customHeight="false" outlineLevel="0" collapsed="false">
      <c r="A77" s="1"/>
      <c r="B77" s="6" t="s">
        <v>187</v>
      </c>
      <c r="C77" s="18" t="n">
        <v>0.1</v>
      </c>
      <c r="D77" s="3" t="s">
        <v>188</v>
      </c>
    </row>
    <row r="78" customFormat="false" ht="15" hidden="false" customHeight="false" outlineLevel="0" collapsed="false">
      <c r="A78" s="1"/>
      <c r="B78" s="6" t="s">
        <v>189</v>
      </c>
      <c r="C78" s="17" t="n">
        <v>20</v>
      </c>
      <c r="D78" s="3" t="s">
        <v>190</v>
      </c>
    </row>
    <row r="79" customFormat="false" ht="15" hidden="false" customHeight="false" outlineLevel="0" collapsed="false">
      <c r="A79" s="1"/>
      <c r="B79" s="6" t="s">
        <v>191</v>
      </c>
      <c r="C79" s="18" t="n">
        <v>20</v>
      </c>
      <c r="D79" s="3" t="s">
        <v>87</v>
      </c>
    </row>
    <row r="80" customFormat="false" ht="15" hidden="false" customHeight="false" outlineLevel="0" collapsed="false">
      <c r="A80" s="1"/>
      <c r="B80" s="6" t="s">
        <v>192</v>
      </c>
      <c r="C80" s="16" t="n">
        <v>12000</v>
      </c>
      <c r="D80" s="3" t="s">
        <v>193</v>
      </c>
    </row>
    <row r="81" customFormat="false" ht="15" hidden="false" customHeight="false" outlineLevel="0" collapsed="false">
      <c r="A81" s="1"/>
      <c r="B81" s="1"/>
      <c r="C81" s="1"/>
      <c r="D81" s="1"/>
    </row>
    <row r="82" customFormat="false" ht="15" hidden="false" customHeight="false" outlineLevel="0" collapsed="false">
      <c r="A82" s="1"/>
      <c r="B82" s="4" t="s">
        <v>194</v>
      </c>
      <c r="C82" s="5"/>
      <c r="D82" s="5"/>
    </row>
    <row r="83" customFormat="false" ht="15" hidden="false" customHeight="false" outlineLevel="0" collapsed="false">
      <c r="A83" s="1"/>
      <c r="B83" s="6" t="s">
        <v>195</v>
      </c>
      <c r="C83" s="22" t="n">
        <v>1</v>
      </c>
      <c r="D83" s="3" t="s">
        <v>196</v>
      </c>
    </row>
    <row r="84" customFormat="false" ht="15" hidden="false" customHeight="false" outlineLevel="0" collapsed="false">
      <c r="A84" s="1"/>
      <c r="B84" s="6" t="s">
        <v>197</v>
      </c>
      <c r="C84" s="20" t="n">
        <v>0.03</v>
      </c>
      <c r="D84" s="3" t="s">
        <v>87</v>
      </c>
    </row>
    <row r="85" customFormat="false" ht="15" hidden="false" customHeight="false" outlineLevel="0" collapsed="false">
      <c r="A85" s="1"/>
      <c r="B85" s="6" t="s">
        <v>198</v>
      </c>
      <c r="C85" s="17" t="n">
        <v>5</v>
      </c>
      <c r="D85" s="3" t="s">
        <v>199</v>
      </c>
    </row>
    <row r="86" customFormat="false" ht="15" hidden="false" customHeight="false" outlineLevel="0" collapsed="false">
      <c r="A86" s="1"/>
      <c r="B86" s="6" t="s">
        <v>200</v>
      </c>
      <c r="C86" s="20" t="n">
        <v>1</v>
      </c>
      <c r="D86" s="3" t="s">
        <v>201</v>
      </c>
    </row>
    <row r="87" customFormat="false" ht="15" hidden="false" customHeight="false" outlineLevel="0" collapsed="false">
      <c r="A87" s="1"/>
      <c r="B87" s="6" t="s">
        <v>202</v>
      </c>
      <c r="C87" s="16" t="n">
        <v>25000</v>
      </c>
      <c r="D87" s="3" t="s">
        <v>203</v>
      </c>
    </row>
    <row r="88" customFormat="false" ht="15" hidden="false" customHeight="false" outlineLevel="0" collapsed="false">
      <c r="A88" s="1"/>
      <c r="B88" s="1"/>
      <c r="C88" s="1"/>
      <c r="D88" s="1"/>
    </row>
    <row r="89" customFormat="false" ht="15" hidden="false" customHeight="false" outlineLevel="0" collapsed="false">
      <c r="A89" s="1"/>
      <c r="B89" s="4" t="s">
        <v>204</v>
      </c>
      <c r="C89" s="5"/>
      <c r="D89" s="5"/>
    </row>
    <row r="90" customFormat="false" ht="15" hidden="false" customHeight="false" outlineLevel="0" collapsed="false">
      <c r="A90" s="1"/>
      <c r="B90" s="6" t="s">
        <v>205</v>
      </c>
      <c r="C90" s="21" t="n">
        <v>0.22</v>
      </c>
      <c r="D90" s="3" t="s">
        <v>206</v>
      </c>
    </row>
    <row r="91" customFormat="false" ht="15" hidden="false" customHeight="false" outlineLevel="0" collapsed="false">
      <c r="A91" s="1"/>
      <c r="B91" s="6" t="s">
        <v>207</v>
      </c>
      <c r="C91" s="20" t="n">
        <v>0.0637</v>
      </c>
      <c r="D91" s="3" t="s">
        <v>208</v>
      </c>
    </row>
    <row r="92" customFormat="false" ht="15" hidden="false" customHeight="false" outlineLevel="0" collapsed="false">
      <c r="A92" s="1"/>
      <c r="B92" s="6" t="s">
        <v>209</v>
      </c>
      <c r="C92" s="15" t="n">
        <v>50000</v>
      </c>
      <c r="D92" s="3" t="s">
        <v>210</v>
      </c>
    </row>
    <row r="93" customFormat="false" ht="15" hidden="false" customHeight="false" outlineLevel="0" collapsed="false">
      <c r="A93" s="1"/>
      <c r="B93" s="6" t="s">
        <v>211</v>
      </c>
      <c r="C93" s="16" t="n">
        <v>256000</v>
      </c>
      <c r="D93" s="3" t="s">
        <v>212</v>
      </c>
    </row>
    <row r="94" customFormat="false" ht="15" hidden="false" customHeight="false" outlineLevel="0" collapsed="false">
      <c r="A94" s="1"/>
      <c r="B94" s="6" t="s">
        <v>213</v>
      </c>
      <c r="C94" s="16" t="n">
        <v>184500</v>
      </c>
      <c r="D94" s="3" t="s">
        <v>214</v>
      </c>
    </row>
    <row r="95" customFormat="false" ht="15" hidden="false" customHeight="false" outlineLevel="0" collapsed="false">
      <c r="A95" s="1"/>
      <c r="B95" s="6" t="s">
        <v>215</v>
      </c>
      <c r="C95" s="20" t="n">
        <v>0.2</v>
      </c>
      <c r="D95" s="3" t="s">
        <v>216</v>
      </c>
    </row>
    <row r="96" customFormat="false" ht="15" hidden="false" customHeight="false" outlineLevel="0" collapsed="false">
      <c r="A96" s="1"/>
      <c r="B96" s="6" t="s">
        <v>217</v>
      </c>
      <c r="C96" s="21" t="n">
        <v>0.37</v>
      </c>
      <c r="D96" s="3" t="s">
        <v>218</v>
      </c>
    </row>
    <row r="97" customFormat="false" ht="15" hidden="false" customHeight="false" outlineLevel="0" collapsed="false">
      <c r="A97" s="1"/>
      <c r="B97" s="6" t="s">
        <v>219</v>
      </c>
      <c r="C97" s="20" t="n">
        <v>0.038</v>
      </c>
      <c r="D97" s="3" t="s">
        <v>220</v>
      </c>
    </row>
    <row r="98" customFormat="false" ht="15" hidden="false" customHeight="false" outlineLevel="0" collapsed="false">
      <c r="A98" s="1"/>
      <c r="B98" s="6" t="s">
        <v>221</v>
      </c>
      <c r="C98" s="20" t="n">
        <v>0.0897</v>
      </c>
      <c r="D98" s="3" t="s">
        <v>222</v>
      </c>
    </row>
    <row r="99" customFormat="false" ht="15" hidden="false" customHeight="false" outlineLevel="0" collapsed="false">
      <c r="A99" s="1"/>
      <c r="B99" s="6" t="s">
        <v>223</v>
      </c>
      <c r="C99" s="15" t="n">
        <v>250000</v>
      </c>
      <c r="D99" s="3" t="s">
        <v>224</v>
      </c>
    </row>
    <row r="100" customFormat="false" ht="15" hidden="false" customHeight="false" outlineLevel="0" collapsed="false">
      <c r="A100" s="1"/>
      <c r="B100" s="6" t="s">
        <v>225</v>
      </c>
      <c r="C100" s="16" t="n">
        <v>250000</v>
      </c>
      <c r="D100" s="3" t="s">
        <v>226</v>
      </c>
    </row>
    <row r="101" customFormat="false" ht="15" hidden="false" customHeight="false" outlineLevel="0" collapsed="false">
      <c r="A101" s="1"/>
      <c r="B101" s="6" t="s">
        <v>227</v>
      </c>
      <c r="C101" s="20" t="n">
        <v>0.3</v>
      </c>
      <c r="D101" s="3" t="s">
        <v>228</v>
      </c>
    </row>
    <row r="102" customFormat="false" ht="15" hidden="false" customHeight="false" outlineLevel="0" collapsed="false">
      <c r="A102" s="1"/>
      <c r="B102" s="1"/>
      <c r="C102" s="1"/>
      <c r="D102" s="1"/>
    </row>
    <row r="103" customFormat="false" ht="15" hidden="false" customHeight="false" outlineLevel="0" collapsed="false">
      <c r="A103" s="1"/>
      <c r="B103" s="4" t="s">
        <v>229</v>
      </c>
      <c r="C103" s="5"/>
      <c r="D103" s="5"/>
    </row>
    <row r="104" customFormat="false" ht="15" hidden="false" customHeight="false" outlineLevel="0" collapsed="false">
      <c r="A104" s="1"/>
      <c r="B104" s="6" t="s">
        <v>230</v>
      </c>
      <c r="C104" s="16" t="n">
        <v>500000</v>
      </c>
      <c r="D104" s="3" t="s">
        <v>231</v>
      </c>
    </row>
    <row r="105" customFormat="false" ht="15" hidden="false" customHeight="false" outlineLevel="0" collapsed="false">
      <c r="A105" s="1"/>
      <c r="B105" s="6" t="s">
        <v>232</v>
      </c>
      <c r="C105" s="20" t="n">
        <v>0.0461</v>
      </c>
      <c r="D105" s="3" t="s">
        <v>233</v>
      </c>
    </row>
    <row r="106" customFormat="false" ht="15" hidden="false" customHeight="false" outlineLevel="0" collapsed="false">
      <c r="A106" s="1"/>
      <c r="B106" s="6" t="s">
        <v>234</v>
      </c>
      <c r="C106" s="16" t="n">
        <v>38000</v>
      </c>
      <c r="D106" s="3" t="s">
        <v>235</v>
      </c>
    </row>
    <row r="107" customFormat="false" ht="15" hidden="false" customHeight="false" outlineLevel="0" collapsed="false">
      <c r="A107" s="1"/>
      <c r="B107" s="6" t="s">
        <v>236</v>
      </c>
      <c r="C107" s="17" t="n">
        <v>2</v>
      </c>
      <c r="D107" s="3" t="s">
        <v>237</v>
      </c>
    </row>
    <row r="108" customFormat="false" ht="15" hidden="false" customHeight="false" outlineLevel="0" collapsed="false">
      <c r="A108" s="1"/>
      <c r="B108" s="6" t="s">
        <v>238</v>
      </c>
      <c r="C108" s="15" t="n">
        <v>60000</v>
      </c>
      <c r="D108" s="3" t="s">
        <v>239</v>
      </c>
    </row>
    <row r="109" customFormat="false" ht="15" hidden="false" customHeight="false" outlineLevel="0" collapsed="false">
      <c r="A109" s="1"/>
      <c r="B109" s="6" t="s">
        <v>240</v>
      </c>
      <c r="C109" s="20" t="n">
        <v>0.183</v>
      </c>
      <c r="D109" s="3" t="s">
        <v>241</v>
      </c>
    </row>
    <row r="110" customFormat="false" ht="15" hidden="false" customHeight="false" outlineLevel="0" collapsed="false">
      <c r="A110" s="1"/>
      <c r="B110" s="1"/>
      <c r="C110" s="1"/>
      <c r="D110" s="1"/>
    </row>
    <row r="111" customFormat="false" ht="15" hidden="false" customHeight="false" outlineLevel="0" collapsed="false">
      <c r="A111" s="1"/>
      <c r="B111" s="4" t="s">
        <v>242</v>
      </c>
      <c r="C111" s="5"/>
      <c r="D111" s="5"/>
    </row>
    <row r="112" customFormat="false" ht="15" hidden="false" customHeight="false" outlineLevel="0" collapsed="false">
      <c r="A112" s="1"/>
      <c r="B112" s="6" t="s">
        <v>243</v>
      </c>
      <c r="C112" s="21" t="n">
        <v>0.1</v>
      </c>
      <c r="D112" s="3" t="s">
        <v>244</v>
      </c>
    </row>
    <row r="113" customFormat="false" ht="15" hidden="false" customHeight="false" outlineLevel="0" collapsed="false">
      <c r="A113" s="1"/>
      <c r="B113" s="6" t="s">
        <v>245</v>
      </c>
      <c r="C113" s="20" t="n">
        <v>0.15</v>
      </c>
      <c r="D113" s="3" t="s">
        <v>87</v>
      </c>
    </row>
    <row r="114" customFormat="false" ht="15" hidden="false" customHeight="false" outlineLevel="0" collapsed="false">
      <c r="A114" s="1"/>
      <c r="B114" s="6" t="s">
        <v>246</v>
      </c>
      <c r="C114" s="23" t="n">
        <v>1.5</v>
      </c>
      <c r="D114" s="3" t="s">
        <v>247</v>
      </c>
    </row>
    <row r="115" customFormat="false" ht="15" hidden="false" customHeight="false" outlineLevel="0" collapsed="false">
      <c r="A115" s="1"/>
      <c r="B115" s="1"/>
      <c r="C115" s="1"/>
      <c r="D115" s="1"/>
    </row>
    <row r="116" customFormat="false" ht="15" hidden="false" customHeight="false" outlineLevel="0" collapsed="false">
      <c r="A116" s="1"/>
      <c r="B116" s="4" t="s">
        <v>248</v>
      </c>
      <c r="C116" s="5"/>
      <c r="D116" s="5"/>
    </row>
    <row r="117" customFormat="false" ht="15" hidden="false" customHeight="false" outlineLevel="0" collapsed="false">
      <c r="A117" s="1"/>
      <c r="B117" s="6" t="s">
        <v>249</v>
      </c>
      <c r="C117" s="24" t="n">
        <f aca="false">Price+ClosingCosts-AllocEquip-AllocLHI-AllocNoncompete</f>
        <v>370000</v>
      </c>
      <c r="D117" s="1"/>
    </row>
    <row r="118" customFormat="false" ht="15" hidden="false" customHeight="false" outlineLevel="0" collapsed="false">
      <c r="A118" s="1"/>
      <c r="B118" s="6" t="s">
        <v>4</v>
      </c>
      <c r="C118" s="24" t="n">
        <f aca="false">Price+ClosingCosts+WorkingCap</f>
        <v>480000</v>
      </c>
      <c r="D118" s="1"/>
    </row>
    <row r="119" customFormat="false" ht="15" hidden="false" customHeight="false" outlineLevel="0" collapsed="false">
      <c r="A119" s="1"/>
      <c r="B119" s="6" t="s">
        <v>250</v>
      </c>
      <c r="C119" s="24" t="n">
        <f aca="false">(DryClean+ATM+SoapVend+SnackVend+GameVend)*AncRealize</f>
        <v>34170</v>
      </c>
      <c r="D11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4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7.35" hidden="false" customHeight="false" outlineLevel="0" collapsed="false">
      <c r="A2" s="1"/>
      <c r="B2" s="2" t="s">
        <v>251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252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15" hidden="false" customHeight="false" outlineLevel="0" collapsed="false">
      <c r="A5" s="1"/>
      <c r="B5" s="4" t="s">
        <v>253</v>
      </c>
      <c r="C5" s="4" t="s">
        <v>254</v>
      </c>
      <c r="D5" s="4" t="s">
        <v>255</v>
      </c>
      <c r="E5" s="4" t="s">
        <v>10</v>
      </c>
      <c r="F5" s="4" t="s">
        <v>256</v>
      </c>
    </row>
    <row r="6" customFormat="false" ht="15" hidden="false" customHeight="false" outlineLevel="0" collapsed="false">
      <c r="A6" s="1"/>
      <c r="B6" s="6" t="s">
        <v>257</v>
      </c>
      <c r="C6" s="16" t="n">
        <v>216000</v>
      </c>
      <c r="D6" s="7" t="n">
        <f aca="false">Projection!D11</f>
        <v>216000</v>
      </c>
      <c r="E6" s="25" t="n">
        <f aca="false">D6-C6</f>
        <v>0</v>
      </c>
      <c r="F6" s="3" t="s">
        <v>258</v>
      </c>
    </row>
    <row r="7" customFormat="false" ht="15" hidden="false" customHeight="false" outlineLevel="0" collapsed="false">
      <c r="A7" s="1"/>
      <c r="B7" s="6" t="s">
        <v>259</v>
      </c>
      <c r="C7" s="16" t="n">
        <v>120000</v>
      </c>
      <c r="D7" s="7" t="n">
        <f aca="false">Projection!D14</f>
        <v>120000</v>
      </c>
      <c r="E7" s="25" t="n">
        <f aca="false">D7-C7</f>
        <v>0</v>
      </c>
      <c r="F7" s="3" t="s">
        <v>260</v>
      </c>
    </row>
    <row r="8" customFormat="false" ht="15" hidden="false" customHeight="false" outlineLevel="0" collapsed="false">
      <c r="A8" s="1"/>
      <c r="B8" s="6" t="s">
        <v>261</v>
      </c>
      <c r="C8" s="16" t="n">
        <v>40200</v>
      </c>
      <c r="D8" s="7" t="n">
        <f aca="false">Projection!D15</f>
        <v>34170</v>
      </c>
      <c r="E8" s="25" t="n">
        <f aca="false">D8-C8</f>
        <v>-6030</v>
      </c>
      <c r="F8" s="3" t="s">
        <v>262</v>
      </c>
    </row>
    <row r="9" customFormat="false" ht="15" hidden="false" customHeight="false" outlineLevel="0" collapsed="false">
      <c r="A9" s="1"/>
      <c r="B9" s="26" t="s">
        <v>263</v>
      </c>
      <c r="C9" s="27" t="n">
        <f aca="false">SUM(C6:C8)</f>
        <v>376200</v>
      </c>
      <c r="D9" s="28" t="n">
        <f aca="false">Projection!D18</f>
        <v>370170</v>
      </c>
      <c r="E9" s="29" t="n">
        <f aca="false">D9-C9</f>
        <v>-6030</v>
      </c>
      <c r="F9" s="30" t="s">
        <v>264</v>
      </c>
    </row>
    <row r="10" customFormat="false" ht="15" hidden="false" customHeight="false" outlineLevel="0" collapsed="false">
      <c r="A10" s="1"/>
      <c r="B10" s="6" t="s">
        <v>265</v>
      </c>
      <c r="C10" s="16" t="n">
        <v>33096</v>
      </c>
      <c r="D10" s="7" t="n">
        <f aca="false">Projection!D21</f>
        <v>33096</v>
      </c>
      <c r="E10" s="25" t="n">
        <f aca="false">D10-C10</f>
        <v>0</v>
      </c>
      <c r="F10" s="3" t="s">
        <v>266</v>
      </c>
    </row>
    <row r="11" customFormat="false" ht="15" hidden="false" customHeight="false" outlineLevel="0" collapsed="false">
      <c r="A11" s="1"/>
      <c r="B11" s="6" t="s">
        <v>267</v>
      </c>
      <c r="C11" s="16" t="n">
        <v>78084</v>
      </c>
      <c r="D11" s="7" t="n">
        <f aca="false">Projection!D22</f>
        <v>82810</v>
      </c>
      <c r="E11" s="25" t="n">
        <f aca="false">D11-C11</f>
        <v>4726</v>
      </c>
      <c r="F11" s="3" t="s">
        <v>268</v>
      </c>
    </row>
    <row r="12" customFormat="false" ht="15" hidden="false" customHeight="false" outlineLevel="0" collapsed="false">
      <c r="A12" s="1"/>
      <c r="B12" s="6" t="s">
        <v>269</v>
      </c>
      <c r="C12" s="16" t="n">
        <v>0</v>
      </c>
      <c r="D12" s="7" t="n">
        <f aca="false">Projection!D23</f>
        <v>13249.6</v>
      </c>
      <c r="E12" s="25" t="n">
        <f aca="false">D12-C12</f>
        <v>13249.6</v>
      </c>
      <c r="F12" s="3" t="s">
        <v>270</v>
      </c>
    </row>
    <row r="13" customFormat="false" ht="15" hidden="false" customHeight="false" outlineLevel="0" collapsed="false">
      <c r="A13" s="1"/>
      <c r="B13" s="6" t="s">
        <v>271</v>
      </c>
      <c r="C13" s="16" t="n">
        <v>32400</v>
      </c>
      <c r="D13" s="7" t="n">
        <f aca="false">Projection!D24</f>
        <v>35640</v>
      </c>
      <c r="E13" s="25" t="n">
        <f aca="false">D13-C13</f>
        <v>3240</v>
      </c>
      <c r="F13" s="3" t="s">
        <v>272</v>
      </c>
    </row>
    <row r="14" customFormat="false" ht="15" hidden="false" customHeight="false" outlineLevel="0" collapsed="false">
      <c r="A14" s="1"/>
      <c r="B14" s="6" t="s">
        <v>273</v>
      </c>
      <c r="C14" s="16" t="n">
        <v>32400</v>
      </c>
      <c r="D14" s="7" t="n">
        <f aca="false">Projection!D25</f>
        <v>35640</v>
      </c>
      <c r="E14" s="25" t="n">
        <f aca="false">D14-C14</f>
        <v>3240</v>
      </c>
      <c r="F14" s="3" t="s">
        <v>274</v>
      </c>
    </row>
    <row r="15" customFormat="false" ht="15" hidden="false" customHeight="false" outlineLevel="0" collapsed="false">
      <c r="A15" s="1"/>
      <c r="B15" s="6" t="s">
        <v>275</v>
      </c>
      <c r="C15" s="16" t="n">
        <v>5400</v>
      </c>
      <c r="D15" s="7" t="n">
        <f aca="false">Projection!D26</f>
        <v>12000</v>
      </c>
      <c r="E15" s="25" t="n">
        <f aca="false">D15-C15</f>
        <v>6600</v>
      </c>
      <c r="F15" s="3" t="s">
        <v>276</v>
      </c>
    </row>
    <row r="16" customFormat="false" ht="15" hidden="false" customHeight="false" outlineLevel="0" collapsed="false">
      <c r="A16" s="1"/>
      <c r="B16" s="6" t="s">
        <v>277</v>
      </c>
      <c r="C16" s="16" t="n">
        <v>2880</v>
      </c>
      <c r="D16" s="7" t="n">
        <f aca="false">Projection!D27</f>
        <v>7500</v>
      </c>
      <c r="E16" s="25" t="n">
        <f aca="false">D16-C16</f>
        <v>4620</v>
      </c>
      <c r="F16" s="3" t="s">
        <v>278</v>
      </c>
    </row>
    <row r="17" customFormat="false" ht="15" hidden="false" customHeight="false" outlineLevel="0" collapsed="false">
      <c r="A17" s="1"/>
      <c r="B17" s="6" t="s">
        <v>279</v>
      </c>
      <c r="C17" s="16" t="n">
        <v>4800</v>
      </c>
      <c r="D17" s="7" t="n">
        <f aca="false">Projection!D28</f>
        <v>4804.8</v>
      </c>
      <c r="E17" s="25" t="n">
        <f aca="false">D17-C17</f>
        <v>4.80000000000018</v>
      </c>
      <c r="F17" s="3"/>
    </row>
    <row r="18" customFormat="false" ht="15" hidden="false" customHeight="false" outlineLevel="0" collapsed="false">
      <c r="A18" s="1"/>
      <c r="B18" s="6" t="s">
        <v>280</v>
      </c>
      <c r="C18" s="16" t="n">
        <v>6600</v>
      </c>
      <c r="D18" s="7" t="n">
        <f aca="false">Projection!D29</f>
        <v>6600</v>
      </c>
      <c r="E18" s="25" t="n">
        <f aca="false">D18-C18</f>
        <v>0</v>
      </c>
      <c r="F18" s="3"/>
    </row>
    <row r="19" customFormat="false" ht="15" hidden="false" customHeight="false" outlineLevel="0" collapsed="false">
      <c r="A19" s="1"/>
      <c r="B19" s="6" t="s">
        <v>281</v>
      </c>
      <c r="C19" s="16" t="n">
        <v>3600</v>
      </c>
      <c r="D19" s="7" t="n">
        <f aca="false">Projection!D30</f>
        <v>3600</v>
      </c>
      <c r="E19" s="25" t="n">
        <f aca="false">D19-C19</f>
        <v>0</v>
      </c>
      <c r="F19" s="3"/>
    </row>
    <row r="20" customFormat="false" ht="15" hidden="false" customHeight="false" outlineLevel="0" collapsed="false">
      <c r="A20" s="1"/>
      <c r="B20" s="6" t="s">
        <v>282</v>
      </c>
      <c r="C20" s="16" t="n">
        <v>10500</v>
      </c>
      <c r="D20" s="7" t="n">
        <f aca="false">Projection!D31</f>
        <v>8965.8</v>
      </c>
      <c r="E20" s="25" t="n">
        <f aca="false">D20-C20</f>
        <v>-1534.2</v>
      </c>
      <c r="F20" s="3"/>
    </row>
    <row r="21" customFormat="false" ht="15" hidden="false" customHeight="false" outlineLevel="0" collapsed="false">
      <c r="A21" s="1"/>
      <c r="B21" s="6" t="s">
        <v>283</v>
      </c>
      <c r="C21" s="16" t="n">
        <v>2220</v>
      </c>
      <c r="D21" s="7" t="n">
        <f aca="false">Projection!D32</f>
        <v>2595</v>
      </c>
      <c r="E21" s="25" t="n">
        <f aca="false">D21-C21</f>
        <v>375</v>
      </c>
      <c r="F21" s="3" t="s">
        <v>284</v>
      </c>
    </row>
    <row r="22" customFormat="false" ht="15" hidden="false" customHeight="false" outlineLevel="0" collapsed="false">
      <c r="A22" s="1"/>
      <c r="B22" s="6" t="s">
        <v>152</v>
      </c>
      <c r="C22" s="16" t="n">
        <v>1800</v>
      </c>
      <c r="D22" s="7" t="n">
        <f aca="false">Projection!D33</f>
        <v>1800</v>
      </c>
      <c r="E22" s="25" t="n">
        <f aca="false">D22-C22</f>
        <v>0</v>
      </c>
      <c r="F22" s="3"/>
    </row>
    <row r="23" customFormat="false" ht="15" hidden="false" customHeight="false" outlineLevel="0" collapsed="false">
      <c r="A23" s="1"/>
      <c r="B23" s="6" t="s">
        <v>285</v>
      </c>
      <c r="C23" s="16" t="n">
        <v>0</v>
      </c>
      <c r="D23" s="7" t="n">
        <f aca="false">Projection!D34</f>
        <v>5000</v>
      </c>
      <c r="E23" s="25" t="n">
        <f aca="false">D23-C23</f>
        <v>5000</v>
      </c>
      <c r="F23" s="3" t="s">
        <v>157</v>
      </c>
    </row>
    <row r="24" customFormat="false" ht="15" hidden="false" customHeight="false" outlineLevel="0" collapsed="false">
      <c r="A24" s="1"/>
      <c r="B24" s="6" t="s">
        <v>286</v>
      </c>
      <c r="C24" s="16" t="n">
        <v>0</v>
      </c>
      <c r="D24" s="7" t="n">
        <f aca="false">Projection!D35</f>
        <v>1000</v>
      </c>
      <c r="E24" s="25" t="n">
        <f aca="false">D24-C24</f>
        <v>1000</v>
      </c>
      <c r="F24" s="3" t="s">
        <v>157</v>
      </c>
    </row>
    <row r="25" customFormat="false" ht="15" hidden="false" customHeight="false" outlineLevel="0" collapsed="false">
      <c r="A25" s="1"/>
      <c r="B25" s="6" t="s">
        <v>158</v>
      </c>
      <c r="C25" s="16" t="n">
        <v>0</v>
      </c>
      <c r="D25" s="7" t="n">
        <f aca="false">Projection!D36</f>
        <v>1200</v>
      </c>
      <c r="E25" s="25" t="n">
        <f aca="false">D25-C25</f>
        <v>1200</v>
      </c>
      <c r="F25" s="3" t="s">
        <v>157</v>
      </c>
    </row>
    <row r="26" customFormat="false" ht="15" hidden="false" customHeight="false" outlineLevel="0" collapsed="false">
      <c r="A26" s="1"/>
      <c r="B26" s="6" t="s">
        <v>287</v>
      </c>
      <c r="C26" s="16" t="n">
        <v>0</v>
      </c>
      <c r="D26" s="7" t="n">
        <f aca="false">Projection!D37</f>
        <v>3000</v>
      </c>
      <c r="E26" s="25" t="n">
        <f aca="false">D26-C26</f>
        <v>3000</v>
      </c>
      <c r="F26" s="3" t="s">
        <v>157</v>
      </c>
    </row>
    <row r="27" customFormat="false" ht="15" hidden="false" customHeight="false" outlineLevel="0" collapsed="false">
      <c r="A27" s="1"/>
      <c r="B27" s="6" t="s">
        <v>288</v>
      </c>
      <c r="C27" s="16" t="n">
        <v>0</v>
      </c>
      <c r="D27" s="7" t="n">
        <f aca="false">Projection!D42</f>
        <v>3701.7</v>
      </c>
      <c r="E27" s="25" t="n">
        <f aca="false">D27-C27</f>
        <v>3701.7</v>
      </c>
      <c r="F27" s="3" t="s">
        <v>289</v>
      </c>
    </row>
    <row r="28" customFormat="false" ht="15" hidden="false" customHeight="false" outlineLevel="0" collapsed="false">
      <c r="A28" s="1"/>
      <c r="B28" s="26" t="s">
        <v>290</v>
      </c>
      <c r="C28" s="27" t="n">
        <f aca="false">SUM(C10:C27)</f>
        <v>213780</v>
      </c>
      <c r="D28" s="28" t="n">
        <f aca="false">Projection!D43</f>
        <v>262202.9</v>
      </c>
      <c r="E28" s="29" t="n">
        <f aca="false">D28-C28</f>
        <v>48422.9</v>
      </c>
      <c r="F28" s="30" t="s">
        <v>291</v>
      </c>
    </row>
    <row r="29" customFormat="false" ht="15" hidden="false" customHeight="false" outlineLevel="0" collapsed="false">
      <c r="A29" s="1"/>
      <c r="B29" s="6" t="s">
        <v>292</v>
      </c>
      <c r="C29" s="24" t="n">
        <f aca="false">C9-C28</f>
        <v>162420</v>
      </c>
      <c r="D29" s="7" t="n">
        <f aca="false">Projection!D45</f>
        <v>107967.1</v>
      </c>
      <c r="E29" s="25" t="n">
        <f aca="false">D29-C29</f>
        <v>-54452.9</v>
      </c>
      <c r="F29" s="3" t="s">
        <v>293</v>
      </c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</row>
    <row r="31" customFormat="false" ht="15" hidden="false" customHeight="false" outlineLevel="0" collapsed="false">
      <c r="A31" s="1"/>
      <c r="B31" s="6" t="s">
        <v>14</v>
      </c>
      <c r="C31" s="16" t="n">
        <v>177720</v>
      </c>
      <c r="D31" s="1"/>
      <c r="E31" s="1"/>
      <c r="F31" s="3" t="s">
        <v>294</v>
      </c>
    </row>
    <row r="32" customFormat="false" ht="15" hidden="false" customHeight="false" outlineLevel="0" collapsed="false">
      <c r="A32" s="1"/>
      <c r="B32" s="3" t="s">
        <v>295</v>
      </c>
      <c r="C32" s="1"/>
      <c r="D32" s="1"/>
      <c r="E32" s="1"/>
      <c r="F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</row>
    <row r="34" customFormat="false" ht="15" hidden="false" customHeight="false" outlineLevel="0" collapsed="false">
      <c r="A34" s="1"/>
      <c r="B34" s="9" t="s">
        <v>296</v>
      </c>
      <c r="C34" s="1"/>
      <c r="D34" s="1"/>
      <c r="E34" s="1"/>
      <c r="F34" s="1"/>
    </row>
    <row r="35" customFormat="false" ht="15" hidden="false" customHeight="false" outlineLevel="0" collapsed="false">
      <c r="A35" s="1"/>
      <c r="B35" s="6" t="s">
        <v>297</v>
      </c>
      <c r="C35" s="1"/>
      <c r="D35" s="10" t="n">
        <f aca="false">Price/C31</f>
        <v>2.5320729237002</v>
      </c>
      <c r="E35" s="1"/>
      <c r="F35" s="1"/>
    </row>
    <row r="36" customFormat="false" ht="15" hidden="false" customHeight="false" outlineLevel="0" collapsed="false">
      <c r="A36" s="1"/>
      <c r="B36" s="6" t="s">
        <v>298</v>
      </c>
      <c r="C36" s="1"/>
      <c r="D36" s="10" t="n">
        <f aca="false">Price/D29</f>
        <v>4.16793634357133</v>
      </c>
      <c r="E36" s="1"/>
      <c r="F36" s="1"/>
    </row>
    <row r="37" customFormat="false" ht="15" hidden="false" customHeight="false" outlineLevel="0" collapsed="false">
      <c r="A37" s="1"/>
      <c r="B37" s="6" t="s">
        <v>299</v>
      </c>
      <c r="C37" s="1"/>
      <c r="D37" s="10" t="n">
        <f aca="false">Price/Projection!D49</f>
        <v>2.9961828630325</v>
      </c>
      <c r="E37" s="1"/>
      <c r="F37" s="1"/>
    </row>
    <row r="38" customFormat="false" ht="15" hidden="false" customHeight="false" outlineLevel="0" collapsed="false">
      <c r="A38" s="1"/>
      <c r="B38" s="6" t="s">
        <v>300</v>
      </c>
      <c r="C38" s="1"/>
      <c r="D38" s="10" t="n">
        <f aca="false">Price/D9</f>
        <v>1.2156576707999</v>
      </c>
      <c r="E38" s="1"/>
      <c r="F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</row>
    <row r="40" customFormat="false" ht="15" hidden="false" customHeight="false" outlineLevel="0" collapsed="false">
      <c r="A40" s="1"/>
      <c r="B40" s="9" t="s">
        <v>301</v>
      </c>
      <c r="C40" s="1"/>
      <c r="D40" s="25" t="n">
        <f aca="false">D29-Projection!C60</f>
        <v>69381.4515518305</v>
      </c>
      <c r="E40" s="1"/>
      <c r="F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1"/>
      <c r="B2" s="2" t="s">
        <v>302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3" t="s">
        <v>303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4" t="s">
        <v>304</v>
      </c>
      <c r="C5" s="5"/>
      <c r="D5" s="5"/>
      <c r="E5" s="5"/>
      <c r="F5" s="5"/>
      <c r="G5" s="5"/>
    </row>
    <row r="6" customFormat="false" ht="15" hidden="false" customHeight="false" outlineLevel="0" collapsed="false">
      <c r="A6" s="1"/>
      <c r="B6" s="6" t="s">
        <v>305</v>
      </c>
      <c r="C6" s="7" t="n">
        <f aca="false">'Seller Recast'!D29</f>
        <v>107967.1</v>
      </c>
      <c r="D6" s="1"/>
      <c r="E6" s="1"/>
      <c r="F6" s="1"/>
      <c r="G6" s="1"/>
    </row>
    <row r="7" customFormat="false" ht="15" hidden="false" customHeight="false" outlineLevel="0" collapsed="false">
      <c r="A7" s="1"/>
      <c r="B7" s="6" t="s">
        <v>306</v>
      </c>
      <c r="C7" s="7" t="n">
        <f aca="false">Projection!D49</f>
        <v>150191.1</v>
      </c>
      <c r="D7" s="1"/>
      <c r="E7" s="1"/>
      <c r="F7" s="1"/>
      <c r="G7" s="1"/>
    </row>
    <row r="8" customFormat="false" ht="15" hidden="false" customHeight="false" outlineLevel="0" collapsed="false">
      <c r="A8" s="1"/>
      <c r="B8" s="6" t="s">
        <v>307</v>
      </c>
      <c r="C8" s="7" t="n">
        <f aca="false">'Seller Recast'!D40</f>
        <v>69381.4515518305</v>
      </c>
      <c r="D8" s="1"/>
      <c r="E8" s="1"/>
      <c r="F8" s="1"/>
      <c r="G8" s="1"/>
    </row>
    <row r="9" customFormat="false" ht="15" hidden="false" customHeight="false" outlineLevel="0" collapsed="false">
      <c r="A9" s="1"/>
      <c r="B9" s="6" t="s">
        <v>308</v>
      </c>
      <c r="C9" s="7" t="n">
        <f aca="false">'Seller Recast'!C31</f>
        <v>177720</v>
      </c>
      <c r="D9" s="1"/>
      <c r="E9" s="1"/>
      <c r="F9" s="1"/>
      <c r="G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5" hidden="false" customHeight="false" outlineLevel="0" collapsed="false">
      <c r="A11" s="1"/>
      <c r="B11" s="4" t="s">
        <v>309</v>
      </c>
      <c r="C11" s="5"/>
      <c r="D11" s="5"/>
      <c r="E11" s="5"/>
      <c r="F11" s="5"/>
      <c r="G11" s="5"/>
    </row>
    <row r="12" customFormat="false" ht="15" hidden="false" customHeight="false" outlineLevel="0" collapsed="false">
      <c r="A12" s="1"/>
      <c r="B12" s="31" t="s">
        <v>310</v>
      </c>
      <c r="C12" s="31" t="s">
        <v>311</v>
      </c>
      <c r="D12" s="31" t="s">
        <v>312</v>
      </c>
      <c r="E12" s="31" t="s">
        <v>313</v>
      </c>
      <c r="F12" s="31" t="s">
        <v>314</v>
      </c>
      <c r="G12" s="1"/>
    </row>
    <row r="13" customFormat="false" ht="15" hidden="false" customHeight="false" outlineLevel="0" collapsed="false">
      <c r="A13" s="1"/>
      <c r="B13" s="6" t="s">
        <v>315</v>
      </c>
      <c r="C13" s="32" t="n">
        <v>2.5</v>
      </c>
      <c r="D13" s="25" t="n">
        <f aca="false">$C13*$C$6</f>
        <v>269917.75</v>
      </c>
      <c r="E13" s="25" t="n">
        <f aca="false">$C13*$C$7</f>
        <v>375477.75</v>
      </c>
      <c r="F13" s="25" t="n">
        <f aca="false">$C13*$C$8</f>
        <v>173453.628879576</v>
      </c>
      <c r="G13" s="3" t="s">
        <v>316</v>
      </c>
    </row>
    <row r="14" customFormat="false" ht="15" hidden="false" customHeight="false" outlineLevel="0" collapsed="false">
      <c r="A14" s="1"/>
      <c r="B14" s="6" t="s">
        <v>317</v>
      </c>
      <c r="C14" s="32" t="n">
        <v>3.3</v>
      </c>
      <c r="D14" s="25" t="n">
        <f aca="false">$C14*$C$6</f>
        <v>356291.43</v>
      </c>
      <c r="E14" s="25" t="n">
        <f aca="false">$C14*$C$7</f>
        <v>495630.63</v>
      </c>
      <c r="F14" s="25" t="n">
        <f aca="false">$C14*$C$8</f>
        <v>228958.790121041</v>
      </c>
      <c r="G14" s="1"/>
    </row>
    <row r="15" customFormat="false" ht="15" hidden="false" customHeight="false" outlineLevel="0" collapsed="false">
      <c r="A15" s="1"/>
      <c r="B15" s="6" t="s">
        <v>318</v>
      </c>
      <c r="C15" s="32" t="n">
        <v>3.5</v>
      </c>
      <c r="D15" s="25" t="n">
        <f aca="false">$C15*$C$6</f>
        <v>377884.85</v>
      </c>
      <c r="E15" s="25" t="n">
        <f aca="false">$C15*$C$7</f>
        <v>525668.85</v>
      </c>
      <c r="F15" s="25" t="n">
        <f aca="false">$C15*$C$8</f>
        <v>242835.080431407</v>
      </c>
      <c r="G15" s="1"/>
    </row>
    <row r="16" customFormat="false" ht="15" hidden="false" customHeight="false" outlineLevel="0" collapsed="false">
      <c r="A16" s="1"/>
      <c r="B16" s="6" t="s">
        <v>319</v>
      </c>
      <c r="C16" s="32" t="n">
        <v>4</v>
      </c>
      <c r="D16" s="25" t="n">
        <f aca="false">$C16*$C$6</f>
        <v>431868.4</v>
      </c>
      <c r="E16" s="25" t="n">
        <f aca="false">$C16*$C$7</f>
        <v>600764.4</v>
      </c>
      <c r="F16" s="25" t="n">
        <f aca="false">$C16*$C$8</f>
        <v>277525.806207322</v>
      </c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4" t="s">
        <v>320</v>
      </c>
      <c r="C18" s="5"/>
      <c r="D18" s="5"/>
      <c r="E18" s="5"/>
      <c r="F18" s="5"/>
      <c r="G18" s="5"/>
    </row>
    <row r="19" customFormat="false" ht="15" hidden="false" customHeight="false" outlineLevel="0" collapsed="false">
      <c r="A19" s="1"/>
      <c r="B19" s="6" t="s">
        <v>321</v>
      </c>
      <c r="C19" s="25" t="n">
        <f aca="false">(NPV(PreTaxTarget,Projection!D55:T55)+Projection!C53-ClosingCosts-WorkingCap)</f>
        <v>536926.076700706</v>
      </c>
      <c r="D19" s="1"/>
      <c r="E19" s="1"/>
      <c r="F19" s="1"/>
      <c r="G19" s="3" t="s">
        <v>322</v>
      </c>
    </row>
    <row r="20" customFormat="false" ht="15" hidden="false" customHeight="false" outlineLevel="0" collapsed="false">
      <c r="A20" s="1"/>
      <c r="B20" s="6" t="s">
        <v>323</v>
      </c>
      <c r="C20" s="25" t="n">
        <f aca="false">Price+Structures!C101</f>
        <v>838418.09638908</v>
      </c>
      <c r="D20" s="1"/>
      <c r="E20" s="1"/>
      <c r="F20" s="1"/>
      <c r="G20" s="3" t="s">
        <v>324</v>
      </c>
    </row>
    <row r="21" customFormat="false" ht="15" hidden="false" customHeight="false" outlineLevel="0" collapsed="false">
      <c r="A21" s="1"/>
      <c r="B21" s="6" t="s">
        <v>325</v>
      </c>
      <c r="C21" s="25" t="n">
        <f aca="false">Price+Structures!C102</f>
        <v>803962.617199581</v>
      </c>
      <c r="D21" s="1"/>
      <c r="E21" s="1"/>
      <c r="F21" s="1"/>
      <c r="G21" s="3" t="s">
        <v>324</v>
      </c>
    </row>
    <row r="22" customFormat="false" ht="15" hidden="false" customHeight="false" outlineLevel="0" collapsed="false">
      <c r="A22" s="1"/>
      <c r="B22" s="6" t="s">
        <v>326</v>
      </c>
      <c r="C22" s="25" t="n">
        <f aca="false">Price+Structures!C103</f>
        <v>821078.756871451</v>
      </c>
      <c r="D22" s="1"/>
      <c r="E22" s="1"/>
      <c r="F22" s="1"/>
      <c r="G22" s="3" t="s">
        <v>324</v>
      </c>
    </row>
    <row r="23" customFormat="false" ht="15" hidden="false" customHeight="false" outlineLevel="0" collapsed="false">
      <c r="A23" s="1"/>
      <c r="B23" s="6" t="s">
        <v>327</v>
      </c>
      <c r="C23" s="25" t="n">
        <f aca="false">Price+Structures!C104</f>
        <v>852532.119049142</v>
      </c>
      <c r="D23" s="1"/>
      <c r="E23" s="1"/>
      <c r="F23" s="1"/>
      <c r="G23" s="3" t="s">
        <v>324</v>
      </c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4" t="s">
        <v>328</v>
      </c>
      <c r="C25" s="5"/>
      <c r="D25" s="5"/>
      <c r="E25" s="5"/>
      <c r="F25" s="5"/>
      <c r="G25" s="5"/>
    </row>
    <row r="26" customFormat="false" ht="15" hidden="false" customHeight="false" outlineLevel="0" collapsed="false">
      <c r="A26" s="1"/>
      <c r="B26" s="6" t="s">
        <v>329</v>
      </c>
      <c r="C26" s="25" t="n">
        <f aca="false">AllocEquip+AllocLHI</f>
        <v>85000</v>
      </c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4" t="s">
        <v>330</v>
      </c>
      <c r="C28" s="5"/>
      <c r="D28" s="5"/>
      <c r="E28" s="5"/>
      <c r="F28" s="5"/>
      <c r="G28" s="5"/>
    </row>
    <row r="29" customFormat="false" ht="15" hidden="false" customHeight="false" outlineLevel="0" collapsed="false">
      <c r="A29" s="1"/>
      <c r="B29" s="9" t="s">
        <v>331</v>
      </c>
      <c r="C29" s="25" t="n">
        <f aca="false">3*C6</f>
        <v>323901.3</v>
      </c>
      <c r="D29" s="25" t="n">
        <f aca="false">3.5*C6</f>
        <v>377884.85</v>
      </c>
      <c r="E29" s="1"/>
      <c r="F29" s="1"/>
      <c r="G29" s="1"/>
    </row>
    <row r="30" customFormat="false" ht="15" hidden="false" customHeight="false" outlineLevel="0" collapsed="false">
      <c r="A30" s="1"/>
      <c r="B30" s="6" t="s">
        <v>3</v>
      </c>
      <c r="C30" s="25" t="n">
        <f aca="false">Price</f>
        <v>450000</v>
      </c>
      <c r="D30" s="1"/>
      <c r="E30" s="1"/>
      <c r="F30" s="1"/>
      <c r="G30" s="1"/>
    </row>
    <row r="31" customFormat="false" ht="15" hidden="false" customHeight="false" outlineLevel="0" collapsed="false">
      <c r="A31" s="1"/>
      <c r="B31" s="9" t="s">
        <v>332</v>
      </c>
      <c r="C31" s="25" t="n">
        <f aca="false">ROUND(3*C6,-4)</f>
        <v>320000</v>
      </c>
      <c r="D31" s="1"/>
      <c r="E31" s="1"/>
      <c r="F31" s="1"/>
      <c r="G31" s="1"/>
    </row>
    <row r="32" customFormat="false" ht="15" hidden="false" customHeight="false" outlineLevel="0" collapsed="false">
      <c r="A32" s="1"/>
      <c r="B32" s="9" t="s">
        <v>333</v>
      </c>
      <c r="C32" s="25" t="n">
        <f aca="false">ROUND(3.5*C6,-4)</f>
        <v>380000</v>
      </c>
      <c r="D32" s="1"/>
      <c r="E32" s="1"/>
      <c r="F32" s="1"/>
      <c r="G3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20" min="3" style="0" width="11"/>
    <col collapsed="false" customWidth="true" hidden="false" outlineLevel="0" max="21" min="21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7.35" hidden="false" customHeight="false" outlineLevel="0" collapsed="false">
      <c r="A2" s="1"/>
      <c r="B2" s="2" t="s">
        <v>334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3" t="s">
        <v>335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5" hidden="false" customHeight="false" outlineLevel="0" collapsed="false">
      <c r="A5" s="1"/>
      <c r="B5" s="9" t="s">
        <v>336</v>
      </c>
      <c r="C5" s="33" t="n">
        <v>0</v>
      </c>
      <c r="D5" s="33" t="n">
        <v>1</v>
      </c>
      <c r="E5" s="33" t="n">
        <v>2</v>
      </c>
      <c r="F5" s="33" t="n">
        <v>3</v>
      </c>
      <c r="G5" s="33" t="n">
        <v>4</v>
      </c>
      <c r="H5" s="33" t="n">
        <v>5</v>
      </c>
      <c r="I5" s="33" t="n">
        <v>6</v>
      </c>
      <c r="J5" s="33" t="n">
        <v>7</v>
      </c>
      <c r="K5" s="33" t="n">
        <v>8</v>
      </c>
      <c r="L5" s="33" t="n">
        <v>9</v>
      </c>
      <c r="M5" s="33" t="n">
        <v>10</v>
      </c>
      <c r="N5" s="33" t="n">
        <v>11</v>
      </c>
      <c r="O5" s="33" t="n">
        <v>12</v>
      </c>
      <c r="P5" s="33" t="n">
        <v>13</v>
      </c>
      <c r="Q5" s="33" t="n">
        <v>14</v>
      </c>
      <c r="R5" s="33" t="n">
        <v>15</v>
      </c>
      <c r="S5" s="33" t="n">
        <v>16</v>
      </c>
      <c r="T5" s="33" t="n">
        <v>17</v>
      </c>
      <c r="U5" s="9" t="s">
        <v>337</v>
      </c>
      <c r="V5" s="1"/>
    </row>
    <row r="6" customFormat="false" ht="15" hidden="false" customHeight="false" outlineLevel="0" collapsed="false">
      <c r="A6" s="1"/>
      <c r="B6" s="3" t="s">
        <v>338</v>
      </c>
      <c r="C6" s="3" t="s">
        <v>339</v>
      </c>
      <c r="D6" s="3" t="s">
        <v>340</v>
      </c>
      <c r="E6" s="3" t="s">
        <v>341</v>
      </c>
      <c r="F6" s="3" t="s">
        <v>342</v>
      </c>
      <c r="G6" s="3" t="s">
        <v>343</v>
      </c>
      <c r="H6" s="3" t="s">
        <v>344</v>
      </c>
      <c r="I6" s="3" t="s">
        <v>345</v>
      </c>
      <c r="J6" s="3" t="s">
        <v>346</v>
      </c>
      <c r="K6" s="3" t="s">
        <v>347</v>
      </c>
      <c r="L6" s="3" t="s">
        <v>348</v>
      </c>
      <c r="M6" s="3" t="s">
        <v>349</v>
      </c>
      <c r="N6" s="3" t="s">
        <v>350</v>
      </c>
      <c r="O6" s="3" t="s">
        <v>351</v>
      </c>
      <c r="P6" s="3" t="s">
        <v>352</v>
      </c>
      <c r="Q6" s="3" t="s">
        <v>353</v>
      </c>
      <c r="R6" s="3" t="s">
        <v>354</v>
      </c>
      <c r="S6" s="3" t="s">
        <v>355</v>
      </c>
      <c r="T6" s="3" t="s">
        <v>356</v>
      </c>
      <c r="U6" s="1"/>
      <c r="V6" s="1"/>
    </row>
    <row r="7" customFormat="false" ht="15" hidden="false" customHeight="false" outlineLevel="0" collapsed="false">
      <c r="A7" s="1"/>
      <c r="B7" s="6" t="s">
        <v>357</v>
      </c>
      <c r="C7" s="11" t="n">
        <f aca="false">Depreciation!C13</f>
        <v>0</v>
      </c>
      <c r="D7" s="11" t="n">
        <f aca="false">Depreciation!D13</f>
        <v>0</v>
      </c>
      <c r="E7" s="11" t="n">
        <f aca="false">Depreciation!E13</f>
        <v>0</v>
      </c>
      <c r="F7" s="11" t="n">
        <f aca="false">Depreciation!F13</f>
        <v>0</v>
      </c>
      <c r="G7" s="11" t="n">
        <f aca="false">Depreciation!G13</f>
        <v>0</v>
      </c>
      <c r="H7" s="11" t="n">
        <f aca="false">Depreciation!H13</f>
        <v>0.639146553471687</v>
      </c>
      <c r="I7" s="11" t="n">
        <f aca="false">Depreciation!I13</f>
        <v>0.639146553471687</v>
      </c>
      <c r="J7" s="11" t="n">
        <f aca="false">Depreciation!J13</f>
        <v>0.639146553471687</v>
      </c>
      <c r="K7" s="11" t="n">
        <f aca="false">Depreciation!K13</f>
        <v>0.639146553471687</v>
      </c>
      <c r="L7" s="11" t="n">
        <f aca="false">Depreciation!L13</f>
        <v>0.639146553471687</v>
      </c>
      <c r="M7" s="11" t="n">
        <f aca="false">Depreciation!M13</f>
        <v>0.639146553471687</v>
      </c>
      <c r="N7" s="11" t="n">
        <f aca="false">Depreciation!N13</f>
        <v>0.639146553471687</v>
      </c>
      <c r="O7" s="11" t="n">
        <f aca="false">Depreciation!O13</f>
        <v>1</v>
      </c>
      <c r="P7" s="11" t="n">
        <f aca="false">Depreciation!P13</f>
        <v>1</v>
      </c>
      <c r="Q7" s="11" t="n">
        <f aca="false">Depreciation!Q13</f>
        <v>1</v>
      </c>
      <c r="R7" s="11" t="n">
        <f aca="false">Depreciation!R13</f>
        <v>1</v>
      </c>
      <c r="S7" s="11" t="n">
        <f aca="false">Depreciation!S13</f>
        <v>1</v>
      </c>
      <c r="T7" s="11" t="n">
        <f aca="false">Depreciation!T13</f>
        <v>1</v>
      </c>
      <c r="U7" s="1"/>
      <c r="V7" s="1"/>
    </row>
    <row r="8" customFormat="false" ht="15" hidden="false" customHeight="false" outlineLevel="0" collapsed="false">
      <c r="A8" s="1"/>
      <c r="B8" s="3" t="s">
        <v>358</v>
      </c>
      <c r="C8" s="1"/>
      <c r="D8" s="3" t="n">
        <f aca="false">D5-1</f>
        <v>0</v>
      </c>
      <c r="E8" s="3" t="n">
        <f aca="false">E5-1</f>
        <v>1</v>
      </c>
      <c r="F8" s="3" t="n">
        <f aca="false">F5-1</f>
        <v>2</v>
      </c>
      <c r="G8" s="3" t="n">
        <f aca="false">G5-1</f>
        <v>3</v>
      </c>
      <c r="H8" s="3" t="n">
        <f aca="false">H5-1</f>
        <v>4</v>
      </c>
      <c r="I8" s="3" t="n">
        <f aca="false">I5-1</f>
        <v>5</v>
      </c>
      <c r="J8" s="3" t="n">
        <f aca="false">J5-1</f>
        <v>6</v>
      </c>
      <c r="K8" s="3" t="n">
        <f aca="false">K5-1</f>
        <v>7</v>
      </c>
      <c r="L8" s="3" t="n">
        <f aca="false">L5-1</f>
        <v>8</v>
      </c>
      <c r="M8" s="3" t="n">
        <f aca="false">M5-1</f>
        <v>9</v>
      </c>
      <c r="N8" s="3" t="n">
        <f aca="false">N5-1</f>
        <v>10</v>
      </c>
      <c r="O8" s="3" t="n">
        <f aca="false">O5-1</f>
        <v>11</v>
      </c>
      <c r="P8" s="3" t="n">
        <f aca="false">P5-1</f>
        <v>12</v>
      </c>
      <c r="Q8" s="3" t="n">
        <f aca="false">Q5-1</f>
        <v>13</v>
      </c>
      <c r="R8" s="3" t="n">
        <f aca="false">R5-1</f>
        <v>14</v>
      </c>
      <c r="S8" s="3" t="n">
        <f aca="false">S5-1</f>
        <v>15</v>
      </c>
      <c r="T8" s="3" t="n">
        <f aca="false">T5-1</f>
        <v>16</v>
      </c>
      <c r="U8" s="1"/>
      <c r="V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1"/>
      <c r="B10" s="4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Format="false" ht="15" hidden="false" customHeight="false" outlineLevel="0" collapsed="false">
      <c r="A11" s="1"/>
      <c r="B11" s="6" t="s">
        <v>359</v>
      </c>
      <c r="C11" s="1"/>
      <c r="D11" s="25" t="n">
        <f aca="false">SelfServe*(1+SSGrowth)^D$8*(1+RetoolLift*D$7)</f>
        <v>216000</v>
      </c>
      <c r="E11" s="25" t="n">
        <f aca="false">SelfServe*(1+SSGrowth)^E$8*(1+RetoolLift*E$7)</f>
        <v>222480</v>
      </c>
      <c r="F11" s="25" t="n">
        <f aca="false">SelfServe*(1+SSGrowth)^F$8*(1+RetoolLift*F$7)</f>
        <v>229154.4</v>
      </c>
      <c r="G11" s="25" t="n">
        <f aca="false">SelfServe*(1+SSGrowth)^G$8*(1+RetoolLift*G$7)</f>
        <v>236029.032</v>
      </c>
      <c r="H11" s="25" t="n">
        <f aca="false">SelfServe*(1+SSGrowth)^H$8*(1+RetoolLift*H$7)</f>
        <v>250879.045789586</v>
      </c>
      <c r="I11" s="25" t="n">
        <f aca="false">SelfServe*(1+SSGrowth)^I$8*(1+RetoolLift*I$7)</f>
        <v>258405.417163274</v>
      </c>
      <c r="J11" s="25" t="n">
        <f aca="false">SelfServe*(1+SSGrowth)^J$8*(1+RetoolLift*J$7)</f>
        <v>266157.579678172</v>
      </c>
      <c r="K11" s="25" t="n">
        <f aca="false">SelfServe*(1+SSGrowth)^K$8*(1+RetoolLift*K$7)</f>
        <v>274142.307068517</v>
      </c>
      <c r="L11" s="25" t="n">
        <f aca="false">SelfServe*(1+SSGrowth)^L$8*(1+RetoolLift*L$7)</f>
        <v>282366.576280573</v>
      </c>
      <c r="M11" s="25" t="n">
        <f aca="false">SelfServe*(1+SSGrowth)^M$8*(1+RetoolLift*M$7)</f>
        <v>290837.57356899</v>
      </c>
      <c r="N11" s="25" t="n">
        <f aca="false">SelfServe*(1+SSGrowth)^N$8*(1+RetoolLift*N$7)</f>
        <v>299562.700776059</v>
      </c>
      <c r="O11" s="25" t="n">
        <f aca="false">SelfServe*(1+SSGrowth)^O$8*(1+RetoolLift*O$7)</f>
        <v>313944.241880304</v>
      </c>
      <c r="P11" s="25" t="n">
        <f aca="false">SelfServe*(1+SSGrowth)^P$8*(1+RetoolLift*P$7)</f>
        <v>323362.569136713</v>
      </c>
      <c r="Q11" s="25" t="n">
        <f aca="false">SelfServe*(1+SSGrowth)^Q$8*(1+RetoolLift*Q$7)</f>
        <v>333063.446210815</v>
      </c>
      <c r="R11" s="25" t="n">
        <f aca="false">SelfServe*(1+SSGrowth)^R$8*(1+RetoolLift*R$7)</f>
        <v>343055.349597139</v>
      </c>
      <c r="S11" s="25" t="n">
        <f aca="false">SelfServe*(1+SSGrowth)^S$8*(1+RetoolLift*S$7)</f>
        <v>353347.010085054</v>
      </c>
      <c r="T11" s="25" t="n">
        <f aca="false">SelfServe*(1+SSGrowth)^T$8*(1+RetoolLift*T$7)</f>
        <v>363947.420387605</v>
      </c>
      <c r="U11" s="34" t="n">
        <f aca="false">SUM(D11:T11)</f>
        <v>4856734.6696228</v>
      </c>
      <c r="V11" s="1"/>
    </row>
    <row r="12" customFormat="false" ht="15" hidden="false" customHeight="false" outlineLevel="0" collapsed="false">
      <c r="A12" s="1"/>
      <c r="B12" s="6" t="s">
        <v>360</v>
      </c>
      <c r="C12" s="1"/>
      <c r="D12" s="35" t="n">
        <f aca="false">WFLbsMonth*12*IF(D$5&gt;=WFPriceYear,1-WFVolLoss,1)</f>
        <v>96000</v>
      </c>
      <c r="E12" s="35" t="n">
        <f aca="false">WFLbsMonth*12*IF(E$5&gt;=WFPriceYear,1-WFVolLoss,1)</f>
        <v>86400</v>
      </c>
      <c r="F12" s="35" t="n">
        <f aca="false">WFLbsMonth*12*IF(F$5&gt;=WFPriceYear,1-WFVolLoss,1)</f>
        <v>86400</v>
      </c>
      <c r="G12" s="35" t="n">
        <f aca="false">WFLbsMonth*12*IF(G$5&gt;=WFPriceYear,1-WFVolLoss,1)</f>
        <v>86400</v>
      </c>
      <c r="H12" s="35" t="n">
        <f aca="false">WFLbsMonth*12*IF(H$5&gt;=WFPriceYear,1-WFVolLoss,1)</f>
        <v>86400</v>
      </c>
      <c r="I12" s="35" t="n">
        <f aca="false">WFLbsMonth*12*IF(I$5&gt;=WFPriceYear,1-WFVolLoss,1)</f>
        <v>86400</v>
      </c>
      <c r="J12" s="35" t="n">
        <f aca="false">WFLbsMonth*12*IF(J$5&gt;=WFPriceYear,1-WFVolLoss,1)</f>
        <v>86400</v>
      </c>
      <c r="K12" s="35" t="n">
        <f aca="false">WFLbsMonth*12*IF(K$5&gt;=WFPriceYear,1-WFVolLoss,1)</f>
        <v>86400</v>
      </c>
      <c r="L12" s="35" t="n">
        <f aca="false">WFLbsMonth*12*IF(L$5&gt;=WFPriceYear,1-WFVolLoss,1)</f>
        <v>86400</v>
      </c>
      <c r="M12" s="35" t="n">
        <f aca="false">WFLbsMonth*12*IF(M$5&gt;=WFPriceYear,1-WFVolLoss,1)</f>
        <v>86400</v>
      </c>
      <c r="N12" s="35" t="n">
        <f aca="false">WFLbsMonth*12*IF(N$5&gt;=WFPriceYear,1-WFVolLoss,1)</f>
        <v>86400</v>
      </c>
      <c r="O12" s="35" t="n">
        <f aca="false">WFLbsMonth*12*IF(O$5&gt;=WFPriceYear,1-WFVolLoss,1)</f>
        <v>86400</v>
      </c>
      <c r="P12" s="35" t="n">
        <f aca="false">WFLbsMonth*12*IF(P$5&gt;=WFPriceYear,1-WFVolLoss,1)</f>
        <v>86400</v>
      </c>
      <c r="Q12" s="35" t="n">
        <f aca="false">WFLbsMonth*12*IF(Q$5&gt;=WFPriceYear,1-WFVolLoss,1)</f>
        <v>86400</v>
      </c>
      <c r="R12" s="35" t="n">
        <f aca="false">WFLbsMonth*12*IF(R$5&gt;=WFPriceYear,1-WFVolLoss,1)</f>
        <v>86400</v>
      </c>
      <c r="S12" s="35" t="n">
        <f aca="false">WFLbsMonth*12*IF(S$5&gt;=WFPriceYear,1-WFVolLoss,1)</f>
        <v>86400</v>
      </c>
      <c r="T12" s="35" t="n">
        <f aca="false">WFLbsMonth*12*IF(T$5&gt;=WFPriceYear,1-WFVolLoss,1)</f>
        <v>86400</v>
      </c>
      <c r="U12" s="36" t="n">
        <f aca="false">SUM(D12:T12)</f>
        <v>1478400</v>
      </c>
      <c r="V12" s="1"/>
    </row>
    <row r="13" customFormat="false" ht="15" hidden="false" customHeight="false" outlineLevel="0" collapsed="false">
      <c r="A13" s="1"/>
      <c r="B13" s="6" t="s">
        <v>361</v>
      </c>
      <c r="C13" s="1"/>
      <c r="D13" s="37" t="n">
        <f aca="false">IF(D$5&gt;=WFPriceYear,WFPriceNew,WFPrice)*(1+WFGrowth)^MAX(0,D$5-WFPriceYear)</f>
        <v>1.25</v>
      </c>
      <c r="E13" s="37" t="n">
        <f aca="false">IF(E$5&gt;=WFPriceYear,WFPriceNew,WFPrice)*(1+WFGrowth)^MAX(0,E$5-WFPriceYear)</f>
        <v>1.5</v>
      </c>
      <c r="F13" s="37" t="n">
        <f aca="false">IF(F$5&gt;=WFPriceYear,WFPriceNew,WFPrice)*(1+WFGrowth)^MAX(0,F$5-WFPriceYear)</f>
        <v>1.545</v>
      </c>
      <c r="G13" s="37" t="n">
        <f aca="false">IF(G$5&gt;=WFPriceYear,WFPriceNew,WFPrice)*(1+WFGrowth)^MAX(0,G$5-WFPriceYear)</f>
        <v>1.59135</v>
      </c>
      <c r="H13" s="37" t="n">
        <f aca="false">IF(H$5&gt;=WFPriceYear,WFPriceNew,WFPrice)*(1+WFGrowth)^MAX(0,H$5-WFPriceYear)</f>
        <v>1.6390905</v>
      </c>
      <c r="I13" s="37" t="n">
        <f aca="false">IF(I$5&gt;=WFPriceYear,WFPriceNew,WFPrice)*(1+WFGrowth)^MAX(0,I$5-WFPriceYear)</f>
        <v>1.688263215</v>
      </c>
      <c r="J13" s="37" t="n">
        <f aca="false">IF(J$5&gt;=WFPriceYear,WFPriceNew,WFPrice)*(1+WFGrowth)^MAX(0,J$5-WFPriceYear)</f>
        <v>1.73891111145</v>
      </c>
      <c r="K13" s="37" t="n">
        <f aca="false">IF(K$5&gt;=WFPriceYear,WFPriceNew,WFPrice)*(1+WFGrowth)^MAX(0,K$5-WFPriceYear)</f>
        <v>1.7910784447935</v>
      </c>
      <c r="L13" s="37" t="n">
        <f aca="false">IF(L$5&gt;=WFPriceYear,WFPriceNew,WFPrice)*(1+WFGrowth)^MAX(0,L$5-WFPriceYear)</f>
        <v>1.84481079813731</v>
      </c>
      <c r="M13" s="37" t="n">
        <f aca="false">IF(M$5&gt;=WFPriceYear,WFPriceNew,WFPrice)*(1+WFGrowth)^MAX(0,M$5-WFPriceYear)</f>
        <v>1.90015512208142</v>
      </c>
      <c r="N13" s="37" t="n">
        <f aca="false">IF(N$5&gt;=WFPriceYear,WFPriceNew,WFPrice)*(1+WFGrowth)^MAX(0,N$5-WFPriceYear)</f>
        <v>1.95715977574387</v>
      </c>
      <c r="O13" s="37" t="n">
        <f aca="false">IF(O$5&gt;=WFPriceYear,WFPriceNew,WFPrice)*(1+WFGrowth)^MAX(0,O$5-WFPriceYear)</f>
        <v>2.01587456901618</v>
      </c>
      <c r="P13" s="37" t="n">
        <f aca="false">IF(P$5&gt;=WFPriceYear,WFPriceNew,WFPrice)*(1+WFGrowth)^MAX(0,P$5-WFPriceYear)</f>
        <v>2.07635080608667</v>
      </c>
      <c r="Q13" s="37" t="n">
        <f aca="false">IF(Q$5&gt;=WFPriceYear,WFPriceNew,WFPrice)*(1+WFGrowth)^MAX(0,Q$5-WFPriceYear)</f>
        <v>2.13864133026927</v>
      </c>
      <c r="R13" s="37" t="n">
        <f aca="false">IF(R$5&gt;=WFPriceYear,WFPriceNew,WFPrice)*(1+WFGrowth)^MAX(0,R$5-WFPriceYear)</f>
        <v>2.20280057017735</v>
      </c>
      <c r="S13" s="37" t="n">
        <f aca="false">IF(S$5&gt;=WFPriceYear,WFPriceNew,WFPrice)*(1+WFGrowth)^MAX(0,S$5-WFPriceYear)</f>
        <v>2.26888458728267</v>
      </c>
      <c r="T13" s="37" t="n">
        <f aca="false">IF(T$5&gt;=WFPriceYear,WFPriceNew,WFPrice)*(1+WFGrowth)^MAX(0,T$5-WFPriceYear)</f>
        <v>2.33695112490115</v>
      </c>
      <c r="U13" s="1"/>
      <c r="V13" s="1"/>
    </row>
    <row r="14" customFormat="false" ht="15" hidden="false" customHeight="false" outlineLevel="0" collapsed="false">
      <c r="A14" s="1"/>
      <c r="B14" s="6" t="s">
        <v>362</v>
      </c>
      <c r="C14" s="1"/>
      <c r="D14" s="25" t="n">
        <f aca="false">D12*D13</f>
        <v>120000</v>
      </c>
      <c r="E14" s="25" t="n">
        <f aca="false">E12*E13</f>
        <v>129600</v>
      </c>
      <c r="F14" s="25" t="n">
        <f aca="false">F12*F13</f>
        <v>133488</v>
      </c>
      <c r="G14" s="25" t="n">
        <f aca="false">G12*G13</f>
        <v>137492.64</v>
      </c>
      <c r="H14" s="25" t="n">
        <f aca="false">H12*H13</f>
        <v>141617.4192</v>
      </c>
      <c r="I14" s="25" t="n">
        <f aca="false">I12*I13</f>
        <v>145865.941776</v>
      </c>
      <c r="J14" s="25" t="n">
        <f aca="false">J12*J13</f>
        <v>150241.92002928</v>
      </c>
      <c r="K14" s="25" t="n">
        <f aca="false">K12*K13</f>
        <v>154749.177630158</v>
      </c>
      <c r="L14" s="25" t="n">
        <f aca="false">L12*L13</f>
        <v>159391.652959063</v>
      </c>
      <c r="M14" s="25" t="n">
        <f aca="false">M12*M13</f>
        <v>164173.402547835</v>
      </c>
      <c r="N14" s="25" t="n">
        <f aca="false">N12*N13</f>
        <v>169098.60462427</v>
      </c>
      <c r="O14" s="25" t="n">
        <f aca="false">O12*O13</f>
        <v>174171.562762998</v>
      </c>
      <c r="P14" s="25" t="n">
        <f aca="false">P12*P13</f>
        <v>179396.709645888</v>
      </c>
      <c r="Q14" s="25" t="n">
        <f aca="false">Q12*Q13</f>
        <v>184778.610935265</v>
      </c>
      <c r="R14" s="25" t="n">
        <f aca="false">R12*R13</f>
        <v>190321.969263323</v>
      </c>
      <c r="S14" s="25" t="n">
        <f aca="false">S12*S13</f>
        <v>196031.628341223</v>
      </c>
      <c r="T14" s="25" t="n">
        <f aca="false">T12*T13</f>
        <v>201912.577191459</v>
      </c>
      <c r="U14" s="34" t="n">
        <f aca="false">SUM(D14:T14)</f>
        <v>2732331.81690676</v>
      </c>
      <c r="V14" s="1"/>
    </row>
    <row r="15" customFormat="false" ht="15" hidden="false" customHeight="false" outlineLevel="0" collapsed="false">
      <c r="A15" s="1"/>
      <c r="B15" s="6" t="s">
        <v>363</v>
      </c>
      <c r="C15" s="1"/>
      <c r="D15" s="25" t="n">
        <f aca="false">AncYr1*(1+AncGrowth)^D$8</f>
        <v>34170</v>
      </c>
      <c r="E15" s="25" t="n">
        <f aca="false">AncYr1*(1+AncGrowth)^E$8</f>
        <v>34853.4</v>
      </c>
      <c r="F15" s="25" t="n">
        <f aca="false">AncYr1*(1+AncGrowth)^F$8</f>
        <v>35550.468</v>
      </c>
      <c r="G15" s="25" t="n">
        <f aca="false">AncYr1*(1+AncGrowth)^G$8</f>
        <v>36261.47736</v>
      </c>
      <c r="H15" s="25" t="n">
        <f aca="false">AncYr1*(1+AncGrowth)^H$8</f>
        <v>36986.7069072</v>
      </c>
      <c r="I15" s="25" t="n">
        <f aca="false">AncYr1*(1+AncGrowth)^I$8</f>
        <v>37726.441045344</v>
      </c>
      <c r="J15" s="25" t="n">
        <f aca="false">AncYr1*(1+AncGrowth)^J$8</f>
        <v>38480.9698662509</v>
      </c>
      <c r="K15" s="25" t="n">
        <f aca="false">AncYr1*(1+AncGrowth)^K$8</f>
        <v>39250.5892635759</v>
      </c>
      <c r="L15" s="25" t="n">
        <f aca="false">AncYr1*(1+AncGrowth)^L$8</f>
        <v>40035.6010488474</v>
      </c>
      <c r="M15" s="25" t="n">
        <f aca="false">AncYr1*(1+AncGrowth)^M$8</f>
        <v>40836.3130698244</v>
      </c>
      <c r="N15" s="25" t="n">
        <f aca="false">AncYr1*(1+AncGrowth)^N$8</f>
        <v>41653.0393312209</v>
      </c>
      <c r="O15" s="25" t="n">
        <f aca="false">AncYr1*(1+AncGrowth)^O$8</f>
        <v>42486.1001178453</v>
      </c>
      <c r="P15" s="25" t="n">
        <f aca="false">AncYr1*(1+AncGrowth)^P$8</f>
        <v>43335.8221202022</v>
      </c>
      <c r="Q15" s="25" t="n">
        <f aca="false">AncYr1*(1+AncGrowth)^Q$8</f>
        <v>44202.5385626062</v>
      </c>
      <c r="R15" s="25" t="n">
        <f aca="false">AncYr1*(1+AncGrowth)^R$8</f>
        <v>45086.5893338584</v>
      </c>
      <c r="S15" s="25" t="n">
        <f aca="false">AncYr1*(1+AncGrowth)^S$8</f>
        <v>45988.3211205355</v>
      </c>
      <c r="T15" s="25" t="n">
        <f aca="false">AncYr1*(1+AncGrowth)^T$8</f>
        <v>46908.0875429462</v>
      </c>
      <c r="U15" s="34" t="n">
        <f aca="false">SUM(D15:T15)</f>
        <v>683812.464690257</v>
      </c>
      <c r="V15" s="1"/>
    </row>
    <row r="16" customFormat="false" ht="15" hidden="false" customHeight="false" outlineLevel="0" collapsed="false">
      <c r="A16" s="1"/>
      <c r="B16" s="6" t="s">
        <v>364</v>
      </c>
      <c r="C16" s="1"/>
      <c r="D16" s="35" t="n">
        <f aca="false">IF(D$5&lt;DelivStart,0,IF(D$5=DelivStart,DelivLbsRamp,DelivLbsFull))*12</f>
        <v>0</v>
      </c>
      <c r="E16" s="35" t="n">
        <f aca="false">IF(E$5&lt;DelivStart,0,IF(E$5=DelivStart,DelivLbsRamp,DelivLbsFull))*12</f>
        <v>0</v>
      </c>
      <c r="F16" s="35" t="n">
        <f aca="false">IF(F$5&lt;DelivStart,0,IF(F$5=DelivStart,DelivLbsRamp,DelivLbsFull))*12</f>
        <v>0</v>
      </c>
      <c r="G16" s="35" t="n">
        <f aca="false">IF(G$5&lt;DelivStart,0,IF(G$5=DelivStart,DelivLbsRamp,DelivLbsFull))*12</f>
        <v>0</v>
      </c>
      <c r="H16" s="35" t="n">
        <f aca="false">IF(H$5&lt;DelivStart,0,IF(H$5=DelivStart,DelivLbsRamp,DelivLbsFull))*12</f>
        <v>0</v>
      </c>
      <c r="I16" s="35" t="n">
        <f aca="false">IF(I$5&lt;DelivStart,0,IF(I$5=DelivStart,DelivLbsRamp,DelivLbsFull))*12</f>
        <v>0</v>
      </c>
      <c r="J16" s="35" t="n">
        <f aca="false">IF(J$5&lt;DelivStart,0,IF(J$5=DelivStart,DelivLbsRamp,DelivLbsFull))*12</f>
        <v>0</v>
      </c>
      <c r="K16" s="35" t="n">
        <f aca="false">IF(K$5&lt;DelivStart,0,IF(K$5=DelivStart,DelivLbsRamp,DelivLbsFull))*12</f>
        <v>0</v>
      </c>
      <c r="L16" s="35" t="n">
        <f aca="false">IF(L$5&lt;DelivStart,0,IF(L$5=DelivStart,DelivLbsRamp,DelivLbsFull))*12</f>
        <v>0</v>
      </c>
      <c r="M16" s="35" t="n">
        <f aca="false">IF(M$5&lt;DelivStart,0,IF(M$5=DelivStart,DelivLbsRamp,DelivLbsFull))*12</f>
        <v>0</v>
      </c>
      <c r="N16" s="35" t="n">
        <f aca="false">IF(N$5&lt;DelivStart,0,IF(N$5=DelivStart,DelivLbsRamp,DelivLbsFull))*12</f>
        <v>0</v>
      </c>
      <c r="O16" s="35" t="n">
        <f aca="false">IF(O$5&lt;DelivStart,0,IF(O$5=DelivStart,DelivLbsRamp,DelivLbsFull))*12</f>
        <v>0</v>
      </c>
      <c r="P16" s="35" t="n">
        <f aca="false">IF(P$5&lt;DelivStart,0,IF(P$5=DelivStart,DelivLbsRamp,DelivLbsFull))*12</f>
        <v>0</v>
      </c>
      <c r="Q16" s="35" t="n">
        <f aca="false">IF(Q$5&lt;DelivStart,0,IF(Q$5=DelivStart,DelivLbsRamp,DelivLbsFull))*12</f>
        <v>0</v>
      </c>
      <c r="R16" s="35" t="n">
        <f aca="false">IF(R$5&lt;DelivStart,0,IF(R$5=DelivStart,DelivLbsRamp,DelivLbsFull))*12</f>
        <v>0</v>
      </c>
      <c r="S16" s="35" t="n">
        <f aca="false">IF(S$5&lt;DelivStart,0,IF(S$5=DelivStart,DelivLbsRamp,DelivLbsFull))*12</f>
        <v>0</v>
      </c>
      <c r="T16" s="35" t="n">
        <f aca="false">IF(T$5&lt;DelivStart,0,IF(T$5=DelivStart,DelivLbsRamp,DelivLbsFull))*12</f>
        <v>0</v>
      </c>
      <c r="U16" s="36" t="n">
        <f aca="false">SUM(D16:T16)</f>
        <v>0</v>
      </c>
      <c r="V16" s="1"/>
    </row>
    <row r="17" customFormat="false" ht="15" hidden="false" customHeight="false" outlineLevel="0" collapsed="false">
      <c r="A17" s="1"/>
      <c r="B17" s="6" t="s">
        <v>365</v>
      </c>
      <c r="C17" s="1"/>
      <c r="D17" s="25" t="n">
        <f aca="false">D16*DelivPrice*(1+WFGrowth)^MAX(0,D$5-DelivStart)</f>
        <v>0</v>
      </c>
      <c r="E17" s="25" t="n">
        <f aca="false">E16*DelivPrice*(1+WFGrowth)^MAX(0,E$5-DelivStart)</f>
        <v>0</v>
      </c>
      <c r="F17" s="25" t="n">
        <f aca="false">F16*DelivPrice*(1+WFGrowth)^MAX(0,F$5-DelivStart)</f>
        <v>0</v>
      </c>
      <c r="G17" s="25" t="n">
        <f aca="false">G16*DelivPrice*(1+WFGrowth)^MAX(0,G$5-DelivStart)</f>
        <v>0</v>
      </c>
      <c r="H17" s="25" t="n">
        <f aca="false">H16*DelivPrice*(1+WFGrowth)^MAX(0,H$5-DelivStart)</f>
        <v>0</v>
      </c>
      <c r="I17" s="25" t="n">
        <f aca="false">I16*DelivPrice*(1+WFGrowth)^MAX(0,I$5-DelivStart)</f>
        <v>0</v>
      </c>
      <c r="J17" s="25" t="n">
        <f aca="false">J16*DelivPrice*(1+WFGrowth)^MAX(0,J$5-DelivStart)</f>
        <v>0</v>
      </c>
      <c r="K17" s="25" t="n">
        <f aca="false">K16*DelivPrice*(1+WFGrowth)^MAX(0,K$5-DelivStart)</f>
        <v>0</v>
      </c>
      <c r="L17" s="25" t="n">
        <f aca="false">L16*DelivPrice*(1+WFGrowth)^MAX(0,L$5-DelivStart)</f>
        <v>0</v>
      </c>
      <c r="M17" s="25" t="n">
        <f aca="false">M16*DelivPrice*(1+WFGrowth)^MAX(0,M$5-DelivStart)</f>
        <v>0</v>
      </c>
      <c r="N17" s="25" t="n">
        <f aca="false">N16*DelivPrice*(1+WFGrowth)^MAX(0,N$5-DelivStart)</f>
        <v>0</v>
      </c>
      <c r="O17" s="25" t="n">
        <f aca="false">O16*DelivPrice*(1+WFGrowth)^MAX(0,O$5-DelivStart)</f>
        <v>0</v>
      </c>
      <c r="P17" s="25" t="n">
        <f aca="false">P16*DelivPrice*(1+WFGrowth)^MAX(0,P$5-DelivStart)</f>
        <v>0</v>
      </c>
      <c r="Q17" s="25" t="n">
        <f aca="false">Q16*DelivPrice*(1+WFGrowth)^MAX(0,Q$5-DelivStart)</f>
        <v>0</v>
      </c>
      <c r="R17" s="25" t="n">
        <f aca="false">R16*DelivPrice*(1+WFGrowth)^MAX(0,R$5-DelivStart)</f>
        <v>0</v>
      </c>
      <c r="S17" s="25" t="n">
        <f aca="false">S16*DelivPrice*(1+WFGrowth)^MAX(0,S$5-DelivStart)</f>
        <v>0</v>
      </c>
      <c r="T17" s="25" t="n">
        <f aca="false">T16*DelivPrice*(1+WFGrowth)^MAX(0,T$5-DelivStart)</f>
        <v>0</v>
      </c>
      <c r="U17" s="34" t="n">
        <f aca="false">SUM(D17:T17)</f>
        <v>0</v>
      </c>
      <c r="V17" s="1"/>
    </row>
    <row r="18" customFormat="false" ht="15" hidden="false" customHeight="false" outlineLevel="0" collapsed="false">
      <c r="A18" s="1"/>
      <c r="B18" s="9" t="s">
        <v>366</v>
      </c>
      <c r="C18" s="1"/>
      <c r="D18" s="34" t="n">
        <f aca="false">D11+D14+D15+D17</f>
        <v>370170</v>
      </c>
      <c r="E18" s="34" t="n">
        <f aca="false">E11+E14+E15+E17</f>
        <v>386933.4</v>
      </c>
      <c r="F18" s="34" t="n">
        <f aca="false">F11+F14+F15+F17</f>
        <v>398192.868</v>
      </c>
      <c r="G18" s="34" t="n">
        <f aca="false">G11+G14+G15+G17</f>
        <v>409783.14936</v>
      </c>
      <c r="H18" s="34" t="n">
        <f aca="false">H11+H14+H15+H17</f>
        <v>429483.171896786</v>
      </c>
      <c r="I18" s="34" t="n">
        <f aca="false">I11+I14+I15+I17</f>
        <v>441997.799984618</v>
      </c>
      <c r="J18" s="34" t="n">
        <f aca="false">J11+J14+J15+J17</f>
        <v>454880.469573703</v>
      </c>
      <c r="K18" s="34" t="n">
        <f aca="false">K11+K14+K15+K17</f>
        <v>468142.073962251</v>
      </c>
      <c r="L18" s="34" t="n">
        <f aca="false">L11+L14+L15+L17</f>
        <v>481793.830288483</v>
      </c>
      <c r="M18" s="34" t="n">
        <f aca="false">M11+M14+M15+M17</f>
        <v>495847.289186649</v>
      </c>
      <c r="N18" s="34" t="n">
        <f aca="false">N11+N14+N15+N17</f>
        <v>510314.34473155</v>
      </c>
      <c r="O18" s="34" t="n">
        <f aca="false">O11+O14+O15+O17</f>
        <v>530601.904761148</v>
      </c>
      <c r="P18" s="34" t="n">
        <f aca="false">P11+P14+P15+P17</f>
        <v>546095.100902804</v>
      </c>
      <c r="Q18" s="34" t="n">
        <f aca="false">Q11+Q14+Q15+Q17</f>
        <v>562044.595708686</v>
      </c>
      <c r="R18" s="34" t="n">
        <f aca="false">R11+R14+R15+R17</f>
        <v>578463.908194321</v>
      </c>
      <c r="S18" s="34" t="n">
        <f aca="false">S11+S14+S15+S17</f>
        <v>595366.959546812</v>
      </c>
      <c r="T18" s="34" t="n">
        <f aca="false">T11+T14+T15+T17</f>
        <v>612768.085122011</v>
      </c>
      <c r="U18" s="34" t="n">
        <f aca="false">SUM(D18:T18)</f>
        <v>8272878.95121982</v>
      </c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4" t="s">
        <v>12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customFormat="false" ht="15" hidden="false" customHeight="false" outlineLevel="0" collapsed="false">
      <c r="A21" s="1"/>
      <c r="B21" s="6" t="s">
        <v>367</v>
      </c>
      <c r="C21" s="1"/>
      <c r="D21" s="25" t="n">
        <f aca="false">RentYr1*(1+RentEsc)^D$8</f>
        <v>33096</v>
      </c>
      <c r="E21" s="25" t="n">
        <f aca="false">RentYr1*(1+RentEsc)^E$8</f>
        <v>34088.88</v>
      </c>
      <c r="F21" s="25" t="n">
        <f aca="false">RentYr1*(1+RentEsc)^F$8</f>
        <v>35111.5464</v>
      </c>
      <c r="G21" s="25" t="n">
        <f aca="false">RentYr1*(1+RentEsc)^G$8</f>
        <v>36164.892792</v>
      </c>
      <c r="H21" s="25" t="n">
        <f aca="false">RentYr1*(1+RentEsc)^H$8</f>
        <v>37249.83957576</v>
      </c>
      <c r="I21" s="25" t="n">
        <f aca="false">RentYr1*(1+RentEsc)^I$8</f>
        <v>38367.3347630328</v>
      </c>
      <c r="J21" s="25" t="n">
        <f aca="false">RentYr1*(1+RentEsc)^J$8</f>
        <v>39518.3548059238</v>
      </c>
      <c r="K21" s="25" t="n">
        <f aca="false">RentYr1*(1+RentEsc)^K$8</f>
        <v>40703.9054501015</v>
      </c>
      <c r="L21" s="25" t="n">
        <f aca="false">RentYr1*(1+RentEsc)^L$8</f>
        <v>41925.0226136046</v>
      </c>
      <c r="M21" s="25" t="n">
        <f aca="false">RentYr1*(1+RentEsc)^M$8</f>
        <v>43182.7732920127</v>
      </c>
      <c r="N21" s="25" t="n">
        <f aca="false">RentYr1*(1+RentEsc)^N$8</f>
        <v>44478.2564907731</v>
      </c>
      <c r="O21" s="25" t="n">
        <f aca="false">RentYr1*(1+RentEsc)^O$8</f>
        <v>45812.6041854963</v>
      </c>
      <c r="P21" s="25" t="n">
        <f aca="false">RentYr1*(1+RentEsc)^P$8</f>
        <v>47186.9823110612</v>
      </c>
      <c r="Q21" s="25" t="n">
        <f aca="false">RentYr1*(1+RentEsc)^Q$8</f>
        <v>48602.591780393</v>
      </c>
      <c r="R21" s="25" t="n">
        <f aca="false">RentYr1*(1+RentEsc)^R$8</f>
        <v>50060.6695338048</v>
      </c>
      <c r="S21" s="25" t="n">
        <f aca="false">RentYr1*(1+RentEsc)^S$8</f>
        <v>51562.4896198189</v>
      </c>
      <c r="T21" s="25" t="n">
        <f aca="false">RentYr1*(1+RentEsc)^T$8</f>
        <v>53109.3643084135</v>
      </c>
      <c r="U21" s="34" t="n">
        <f aca="false">SUM(D21:T21)</f>
        <v>720221.507922196</v>
      </c>
      <c r="V21" s="1"/>
    </row>
    <row r="22" customFormat="false" ht="15" hidden="false" customHeight="false" outlineLevel="0" collapsed="false">
      <c r="A22" s="1"/>
      <c r="B22" s="6" t="s">
        <v>368</v>
      </c>
      <c r="C22" s="1"/>
      <c r="D22" s="25" t="n">
        <f aca="false">PaidHours*52*Wage*(1+WageGrowth)^D$8</f>
        <v>82810</v>
      </c>
      <c r="E22" s="25" t="n">
        <f aca="false">PaidHours*52*Wage*(1+WageGrowth)^E$8</f>
        <v>85708.35</v>
      </c>
      <c r="F22" s="25" t="n">
        <f aca="false">PaidHours*52*Wage*(1+WageGrowth)^F$8</f>
        <v>88708.14225</v>
      </c>
      <c r="G22" s="25" t="n">
        <f aca="false">PaidHours*52*Wage*(1+WageGrowth)^G$8</f>
        <v>91812.92722875</v>
      </c>
      <c r="H22" s="25" t="n">
        <f aca="false">PaidHours*52*Wage*(1+WageGrowth)^H$8</f>
        <v>95026.3796817562</v>
      </c>
      <c r="I22" s="25" t="n">
        <f aca="false">PaidHours*52*Wage*(1+WageGrowth)^I$8</f>
        <v>98352.3029706177</v>
      </c>
      <c r="J22" s="25" t="n">
        <f aca="false">PaidHours*52*Wage*(1+WageGrowth)^J$8</f>
        <v>101794.633574589</v>
      </c>
      <c r="K22" s="25" t="n">
        <f aca="false">PaidHours*52*Wage*(1+WageGrowth)^K$8</f>
        <v>105357.4457497</v>
      </c>
      <c r="L22" s="25" t="n">
        <f aca="false">PaidHours*52*Wage*(1+WageGrowth)^L$8</f>
        <v>109044.956350939</v>
      </c>
      <c r="M22" s="25" t="n">
        <f aca="false">PaidHours*52*Wage*(1+WageGrowth)^M$8</f>
        <v>112861.529823222</v>
      </c>
      <c r="N22" s="25" t="n">
        <f aca="false">PaidHours*52*Wage*(1+WageGrowth)^N$8</f>
        <v>116811.683367035</v>
      </c>
      <c r="O22" s="25" t="n">
        <f aca="false">PaidHours*52*Wage*(1+WageGrowth)^O$8</f>
        <v>120900.092284881</v>
      </c>
      <c r="P22" s="25" t="n">
        <f aca="false">PaidHours*52*Wage*(1+WageGrowth)^P$8</f>
        <v>125131.595514852</v>
      </c>
      <c r="Q22" s="25" t="n">
        <f aca="false">PaidHours*52*Wage*(1+WageGrowth)^Q$8</f>
        <v>129511.201357872</v>
      </c>
      <c r="R22" s="25" t="n">
        <f aca="false">PaidHours*52*Wage*(1+WageGrowth)^R$8</f>
        <v>134044.093405397</v>
      </c>
      <c r="S22" s="25" t="n">
        <f aca="false">PaidHours*52*Wage*(1+WageGrowth)^S$8</f>
        <v>138735.636674586</v>
      </c>
      <c r="T22" s="25" t="n">
        <f aca="false">PaidHours*52*Wage*(1+WageGrowth)^T$8</f>
        <v>143591.383958197</v>
      </c>
      <c r="U22" s="34" t="n">
        <f aca="false">SUM(D22:T22)</f>
        <v>1880202.3541924</v>
      </c>
      <c r="V22" s="1"/>
    </row>
    <row r="23" customFormat="false" ht="15" hidden="false" customHeight="false" outlineLevel="0" collapsed="false">
      <c r="A23" s="1"/>
      <c r="B23" s="6" t="s">
        <v>369</v>
      </c>
      <c r="C23" s="1"/>
      <c r="D23" s="25" t="n">
        <f aca="false">D22*Burden</f>
        <v>13249.6</v>
      </c>
      <c r="E23" s="25" t="n">
        <f aca="false">E22*Burden</f>
        <v>13713.336</v>
      </c>
      <c r="F23" s="25" t="n">
        <f aca="false">F22*Burden</f>
        <v>14193.30276</v>
      </c>
      <c r="G23" s="25" t="n">
        <f aca="false">G22*Burden</f>
        <v>14690.0683566</v>
      </c>
      <c r="H23" s="25" t="n">
        <f aca="false">H22*Burden</f>
        <v>15204.220749081</v>
      </c>
      <c r="I23" s="25" t="n">
        <f aca="false">I22*Burden</f>
        <v>15736.3684752988</v>
      </c>
      <c r="J23" s="25" t="n">
        <f aca="false">J22*Burden</f>
        <v>16287.1413719343</v>
      </c>
      <c r="K23" s="25" t="n">
        <f aca="false">K22*Burden</f>
        <v>16857.191319952</v>
      </c>
      <c r="L23" s="25" t="n">
        <f aca="false">L22*Burden</f>
        <v>17447.1930161503</v>
      </c>
      <c r="M23" s="25" t="n">
        <f aca="false">M22*Burden</f>
        <v>18057.8447717156</v>
      </c>
      <c r="N23" s="25" t="n">
        <f aca="false">N22*Burden</f>
        <v>18689.8693387256</v>
      </c>
      <c r="O23" s="25" t="n">
        <f aca="false">O22*Burden</f>
        <v>19344.014765581</v>
      </c>
      <c r="P23" s="25" t="n">
        <f aca="false">P22*Burden</f>
        <v>20021.0552823763</v>
      </c>
      <c r="Q23" s="25" t="n">
        <f aca="false">Q22*Burden</f>
        <v>20721.7922172595</v>
      </c>
      <c r="R23" s="25" t="n">
        <f aca="false">R22*Burden</f>
        <v>21447.0549448636</v>
      </c>
      <c r="S23" s="25" t="n">
        <f aca="false">S22*Burden</f>
        <v>22197.7018679338</v>
      </c>
      <c r="T23" s="25" t="n">
        <f aca="false">T22*Burden</f>
        <v>22974.6214333115</v>
      </c>
      <c r="U23" s="34" t="n">
        <f aca="false">SUM(D23:T23)</f>
        <v>300832.376670783</v>
      </c>
      <c r="V23" s="1"/>
    </row>
    <row r="24" customFormat="false" ht="15" hidden="false" customHeight="false" outlineLevel="0" collapsed="false">
      <c r="A24" s="1"/>
      <c r="B24" s="6" t="s">
        <v>370</v>
      </c>
      <c r="C24" s="1"/>
      <c r="D24" s="25" t="n">
        <f aca="false">WaterYr1*(1+UtilCont)*(1+UtilInfl)^D$8*(1-UtilSave*D$7)</f>
        <v>35640</v>
      </c>
      <c r="E24" s="25" t="n">
        <f aca="false">WaterYr1*(1+UtilCont)*(1+UtilInfl)^E$8*(1-UtilSave*E$7)</f>
        <v>37065.6</v>
      </c>
      <c r="F24" s="25" t="n">
        <f aca="false">WaterYr1*(1+UtilCont)*(1+UtilInfl)^F$8*(1-UtilSave*F$7)</f>
        <v>38548.224</v>
      </c>
      <c r="G24" s="25" t="n">
        <f aca="false">WaterYr1*(1+UtilCont)*(1+UtilInfl)^G$8*(1-UtilSave*G$7)</f>
        <v>40090.15296</v>
      </c>
      <c r="H24" s="25" t="n">
        <f aca="false">WaterYr1*(1+UtilCont)*(1+UtilInfl)^H$8*(1-UtilSave*H$7)</f>
        <v>36364.0745951524</v>
      </c>
      <c r="I24" s="25" t="n">
        <f aca="false">WaterYr1*(1+UtilCont)*(1+UtilInfl)^I$8*(1-UtilSave*I$7)</f>
        <v>37818.6375789585</v>
      </c>
      <c r="J24" s="25" t="n">
        <f aca="false">WaterYr1*(1+UtilCont)*(1+UtilInfl)^J$8*(1-UtilSave*J$7)</f>
        <v>39331.3830821168</v>
      </c>
      <c r="K24" s="25" t="n">
        <f aca="false">WaterYr1*(1+UtilCont)*(1+UtilInfl)^K$8*(1-UtilSave*K$7)</f>
        <v>40904.6384054015</v>
      </c>
      <c r="L24" s="25" t="n">
        <f aca="false">WaterYr1*(1+UtilCont)*(1+UtilInfl)^L$8*(1-UtilSave*L$7)</f>
        <v>42540.8239416175</v>
      </c>
      <c r="M24" s="25" t="n">
        <f aca="false">WaterYr1*(1+UtilCont)*(1+UtilInfl)^M$8*(1-UtilSave*M$7)</f>
        <v>44242.4568992822</v>
      </c>
      <c r="N24" s="25" t="n">
        <f aca="false">WaterYr1*(1+UtilCont)*(1+UtilInfl)^N$8*(1-UtilSave*N$7)</f>
        <v>46012.1551752535</v>
      </c>
      <c r="O24" s="25" t="n">
        <f aca="false">WaterYr1*(1+UtilCont)*(1+UtilInfl)^O$8*(1-UtilSave*O$7)</f>
        <v>43892.9140536555</v>
      </c>
      <c r="P24" s="25" t="n">
        <f aca="false">WaterYr1*(1+UtilCont)*(1+UtilInfl)^P$8*(1-UtilSave*P$7)</f>
        <v>45648.6306158017</v>
      </c>
      <c r="Q24" s="25" t="n">
        <f aca="false">WaterYr1*(1+UtilCont)*(1+UtilInfl)^Q$8*(1-UtilSave*Q$7)</f>
        <v>47474.5758404338</v>
      </c>
      <c r="R24" s="25" t="n">
        <f aca="false">WaterYr1*(1+UtilCont)*(1+UtilInfl)^R$8*(1-UtilSave*R$7)</f>
        <v>49373.5588740512</v>
      </c>
      <c r="S24" s="25" t="n">
        <f aca="false">WaterYr1*(1+UtilCont)*(1+UtilInfl)^S$8*(1-UtilSave*S$7)</f>
        <v>51348.5012290132</v>
      </c>
      <c r="T24" s="25" t="n">
        <f aca="false">WaterYr1*(1+UtilCont)*(1+UtilInfl)^T$8*(1-UtilSave*T$7)</f>
        <v>53402.4412781737</v>
      </c>
      <c r="U24" s="34" t="n">
        <f aca="false">SUM(D24:T24)</f>
        <v>729698.768528912</v>
      </c>
      <c r="V24" s="1"/>
    </row>
    <row r="25" customFormat="false" ht="15" hidden="false" customHeight="false" outlineLevel="0" collapsed="false">
      <c r="A25" s="1"/>
      <c r="B25" s="6" t="s">
        <v>273</v>
      </c>
      <c r="C25" s="1"/>
      <c r="D25" s="25" t="n">
        <f aca="false">(GasElecYr1+ElecExtra)*(1+UtilCont)*(1+UtilInfl)^D$8*(1-UtilSave*D$7)</f>
        <v>35640</v>
      </c>
      <c r="E25" s="25" t="n">
        <f aca="false">(GasElecYr1+ElecExtra)*(1+UtilCont)*(1+UtilInfl)^E$8*(1-UtilSave*E$7)</f>
        <v>37065.6</v>
      </c>
      <c r="F25" s="25" t="n">
        <f aca="false">(GasElecYr1+ElecExtra)*(1+UtilCont)*(1+UtilInfl)^F$8*(1-UtilSave*F$7)</f>
        <v>38548.224</v>
      </c>
      <c r="G25" s="25" t="n">
        <f aca="false">(GasElecYr1+ElecExtra)*(1+UtilCont)*(1+UtilInfl)^G$8*(1-UtilSave*G$7)</f>
        <v>40090.15296</v>
      </c>
      <c r="H25" s="25" t="n">
        <f aca="false">(GasElecYr1+ElecExtra)*(1+UtilCont)*(1+UtilInfl)^H$8*(1-UtilSave*H$7)</f>
        <v>36364.0745951524</v>
      </c>
      <c r="I25" s="25" t="n">
        <f aca="false">(GasElecYr1+ElecExtra)*(1+UtilCont)*(1+UtilInfl)^I$8*(1-UtilSave*I$7)</f>
        <v>37818.6375789585</v>
      </c>
      <c r="J25" s="25" t="n">
        <f aca="false">(GasElecYr1+ElecExtra)*(1+UtilCont)*(1+UtilInfl)^J$8*(1-UtilSave*J$7)</f>
        <v>39331.3830821168</v>
      </c>
      <c r="K25" s="25" t="n">
        <f aca="false">(GasElecYr1+ElecExtra)*(1+UtilCont)*(1+UtilInfl)^K$8*(1-UtilSave*K$7)</f>
        <v>40904.6384054015</v>
      </c>
      <c r="L25" s="25" t="n">
        <f aca="false">(GasElecYr1+ElecExtra)*(1+UtilCont)*(1+UtilInfl)^L$8*(1-UtilSave*L$7)</f>
        <v>42540.8239416175</v>
      </c>
      <c r="M25" s="25" t="n">
        <f aca="false">(GasElecYr1+ElecExtra)*(1+UtilCont)*(1+UtilInfl)^M$8*(1-UtilSave*M$7)</f>
        <v>44242.4568992822</v>
      </c>
      <c r="N25" s="25" t="n">
        <f aca="false">(GasElecYr1+ElecExtra)*(1+UtilCont)*(1+UtilInfl)^N$8*(1-UtilSave*N$7)</f>
        <v>46012.1551752535</v>
      </c>
      <c r="O25" s="25" t="n">
        <f aca="false">(GasElecYr1+ElecExtra)*(1+UtilCont)*(1+UtilInfl)^O$8*(1-UtilSave*O$7)</f>
        <v>43892.9140536555</v>
      </c>
      <c r="P25" s="25" t="n">
        <f aca="false">(GasElecYr1+ElecExtra)*(1+UtilCont)*(1+UtilInfl)^P$8*(1-UtilSave*P$7)</f>
        <v>45648.6306158017</v>
      </c>
      <c r="Q25" s="25" t="n">
        <f aca="false">(GasElecYr1+ElecExtra)*(1+UtilCont)*(1+UtilInfl)^Q$8*(1-UtilSave*Q$7)</f>
        <v>47474.5758404338</v>
      </c>
      <c r="R25" s="25" t="n">
        <f aca="false">(GasElecYr1+ElecExtra)*(1+UtilCont)*(1+UtilInfl)^R$8*(1-UtilSave*R$7)</f>
        <v>49373.5588740512</v>
      </c>
      <c r="S25" s="25" t="n">
        <f aca="false">(GasElecYr1+ElecExtra)*(1+UtilCont)*(1+UtilInfl)^S$8*(1-UtilSave*S$7)</f>
        <v>51348.5012290132</v>
      </c>
      <c r="T25" s="25" t="n">
        <f aca="false">(GasElecYr1+ElecExtra)*(1+UtilCont)*(1+UtilInfl)^T$8*(1-UtilSave*T$7)</f>
        <v>53402.4412781737</v>
      </c>
      <c r="U25" s="34" t="n">
        <f aca="false">SUM(D25:T25)</f>
        <v>729698.768528912</v>
      </c>
      <c r="V25" s="1"/>
    </row>
    <row r="26" customFormat="false" ht="15" hidden="false" customHeight="false" outlineLevel="0" collapsed="false">
      <c r="A26" s="1"/>
      <c r="B26" s="6" t="s">
        <v>275</v>
      </c>
      <c r="C26" s="1"/>
      <c r="D26" s="25" t="n">
        <f aca="false">RepairsYr1*(1+RepairsAging)^D$8*(1-D$7)+D18*RepairsNewPct*D$7</f>
        <v>12000</v>
      </c>
      <c r="E26" s="25" t="n">
        <f aca="false">RepairsYr1*(1+RepairsAging)^E$8*(1-E$7)+E18*RepairsNewPct*E$7</f>
        <v>12960</v>
      </c>
      <c r="F26" s="25" t="n">
        <f aca="false">RepairsYr1*(1+RepairsAging)^F$8*(1-F$7)+F18*RepairsNewPct*F$7</f>
        <v>13996.8</v>
      </c>
      <c r="G26" s="25" t="n">
        <f aca="false">RepairsYr1*(1+RepairsAging)^G$8*(1-G$7)+G18*RepairsNewPct*G$7</f>
        <v>15116.544</v>
      </c>
      <c r="H26" s="25" t="n">
        <f aca="false">RepairsYr1*(1+RepairsAging)^H$8*(1-H$7)+H18*RepairsNewPct*H$7</f>
        <v>11381.299343995</v>
      </c>
      <c r="I26" s="25" t="n">
        <f aca="false">RepairsYr1*(1+RepairsAging)^I$8*(1-I$7)+I18*RepairsNewPct*I$7</f>
        <v>12012.5726171739</v>
      </c>
      <c r="J26" s="25" t="n">
        <f aca="false">RepairsYr1*(1+RepairsAging)^J$8*(1-J$7)+J18*RepairsNewPct*J$7</f>
        <v>12686.2545110918</v>
      </c>
      <c r="K26" s="25" t="n">
        <f aca="false">RepairsYr1*(1+RepairsAging)^K$8*(1-K$7)+K18*RepairsNewPct*K$7</f>
        <v>13405.5005917567</v>
      </c>
      <c r="L26" s="25" t="n">
        <f aca="false">RepairsYr1*(1+RepairsAging)^L$8*(1-L$7)+L18*RepairsNewPct*L$7</f>
        <v>14173.7118702192</v>
      </c>
      <c r="M26" s="25" t="n">
        <f aca="false">RepairsYr1*(1+RepairsAging)^M$8*(1-M$7)+M18*RepairsNewPct*M$7</f>
        <v>14994.5542304387</v>
      </c>
      <c r="N26" s="25" t="n">
        <f aca="false">RepairsYr1*(1+RepairsAging)^N$8*(1-N$7)+N18*RepairsNewPct*N$7</f>
        <v>15871.9794051908</v>
      </c>
      <c r="O26" s="25" t="n">
        <f aca="false">RepairsYr1*(1+RepairsAging)^O$8*(1-O$7)+O18*RepairsNewPct*O$7</f>
        <v>10612.038095223</v>
      </c>
      <c r="P26" s="25" t="n">
        <f aca="false">RepairsYr1*(1+RepairsAging)^P$8*(1-P$7)+P18*RepairsNewPct*P$7</f>
        <v>10921.9020180561</v>
      </c>
      <c r="Q26" s="25" t="n">
        <f aca="false">RepairsYr1*(1+RepairsAging)^Q$8*(1-Q$7)+Q18*RepairsNewPct*Q$7</f>
        <v>11240.8919141737</v>
      </c>
      <c r="R26" s="25" t="n">
        <f aca="false">RepairsYr1*(1+RepairsAging)^R$8*(1-R$7)+R18*RepairsNewPct*R$7</f>
        <v>11569.2781638864</v>
      </c>
      <c r="S26" s="25" t="n">
        <f aca="false">RepairsYr1*(1+RepairsAging)^S$8*(1-S$7)+S18*RepairsNewPct*S$7</f>
        <v>11907.3391909362</v>
      </c>
      <c r="T26" s="25" t="n">
        <f aca="false">RepairsYr1*(1+RepairsAging)^T$8*(1-T$7)+T18*RepairsNewPct*T$7</f>
        <v>12255.3617024402</v>
      </c>
      <c r="U26" s="34" t="n">
        <f aca="false">SUM(D26:T26)</f>
        <v>217106.027654582</v>
      </c>
      <c r="V26" s="1"/>
    </row>
    <row r="27" customFormat="false" ht="15" hidden="false" customHeight="false" outlineLevel="0" collapsed="false">
      <c r="A27" s="1"/>
      <c r="B27" s="6" t="s">
        <v>277</v>
      </c>
      <c r="C27" s="1"/>
      <c r="D27" s="25" t="n">
        <f aca="false">Insurance*(1+ExpInfl)^D$8</f>
        <v>7500</v>
      </c>
      <c r="E27" s="25" t="n">
        <f aca="false">Insurance*(1+ExpInfl)^E$8</f>
        <v>7725</v>
      </c>
      <c r="F27" s="25" t="n">
        <f aca="false">Insurance*(1+ExpInfl)^F$8</f>
        <v>7956.75</v>
      </c>
      <c r="G27" s="25" t="n">
        <f aca="false">Insurance*(1+ExpInfl)^G$8</f>
        <v>8195.4525</v>
      </c>
      <c r="H27" s="25" t="n">
        <f aca="false">Insurance*(1+ExpInfl)^H$8</f>
        <v>8441.316075</v>
      </c>
      <c r="I27" s="25" t="n">
        <f aca="false">Insurance*(1+ExpInfl)^I$8</f>
        <v>8694.55555725</v>
      </c>
      <c r="J27" s="25" t="n">
        <f aca="false">Insurance*(1+ExpInfl)^J$8</f>
        <v>8955.3922239675</v>
      </c>
      <c r="K27" s="25" t="n">
        <f aca="false">Insurance*(1+ExpInfl)^K$8</f>
        <v>9224.05399068653</v>
      </c>
      <c r="L27" s="25" t="n">
        <f aca="false">Insurance*(1+ExpInfl)^L$8</f>
        <v>9500.77561040712</v>
      </c>
      <c r="M27" s="25" t="n">
        <f aca="false">Insurance*(1+ExpInfl)^M$8</f>
        <v>9785.79887871934</v>
      </c>
      <c r="N27" s="25" t="n">
        <f aca="false">Insurance*(1+ExpInfl)^N$8</f>
        <v>10079.3728450809</v>
      </c>
      <c r="O27" s="25" t="n">
        <f aca="false">Insurance*(1+ExpInfl)^O$8</f>
        <v>10381.7540304333</v>
      </c>
      <c r="P27" s="25" t="n">
        <f aca="false">Insurance*(1+ExpInfl)^P$8</f>
        <v>10693.2066513463</v>
      </c>
      <c r="Q27" s="25" t="n">
        <f aca="false">Insurance*(1+ExpInfl)^Q$8</f>
        <v>11014.0028508867</v>
      </c>
      <c r="R27" s="25" t="n">
        <f aca="false">Insurance*(1+ExpInfl)^R$8</f>
        <v>11344.4229364133</v>
      </c>
      <c r="S27" s="25" t="n">
        <f aca="false">Insurance*(1+ExpInfl)^S$8</f>
        <v>11684.7556245057</v>
      </c>
      <c r="T27" s="25" t="n">
        <f aca="false">Insurance*(1+ExpInfl)^T$8</f>
        <v>12035.2982932409</v>
      </c>
      <c r="U27" s="34" t="n">
        <f aca="false">SUM(D27:T27)</f>
        <v>163211.908067938</v>
      </c>
      <c r="V27" s="1"/>
    </row>
    <row r="28" customFormat="false" ht="15" hidden="false" customHeight="false" outlineLevel="0" collapsed="false">
      <c r="A28" s="1"/>
      <c r="B28" s="6" t="s">
        <v>279</v>
      </c>
      <c r="C28" s="1"/>
      <c r="D28" s="25" t="n">
        <f aca="false">(D11+D14)*CardFeePct</f>
        <v>4804.8</v>
      </c>
      <c r="E28" s="25" t="n">
        <f aca="false">(E11+E14)*CardFeePct</f>
        <v>5034.744</v>
      </c>
      <c r="F28" s="25" t="n">
        <f aca="false">(F11+F14)*CardFeePct</f>
        <v>5185.78632</v>
      </c>
      <c r="G28" s="25" t="n">
        <f aca="false">(G11+G14)*CardFeePct</f>
        <v>5341.3599096</v>
      </c>
      <c r="H28" s="25" t="n">
        <f aca="false">(H11+H14)*CardFeePct</f>
        <v>5612.69944935108</v>
      </c>
      <c r="I28" s="25" t="n">
        <f aca="false">(I11+I14)*CardFeePct</f>
        <v>5781.08043283161</v>
      </c>
      <c r="J28" s="25" t="n">
        <f aca="false">(J11+J14)*CardFeePct</f>
        <v>5954.51284581656</v>
      </c>
      <c r="K28" s="25" t="n">
        <f aca="false">(K11+K14)*CardFeePct</f>
        <v>6133.14823119106</v>
      </c>
      <c r="L28" s="25" t="n">
        <f aca="false">(L11+L14)*CardFeePct</f>
        <v>6317.14267812679</v>
      </c>
      <c r="M28" s="25" t="n">
        <f aca="false">(M11+M14)*CardFeePct</f>
        <v>6506.6569584706</v>
      </c>
      <c r="N28" s="25" t="n">
        <f aca="false">(N11+N14)*CardFeePct</f>
        <v>6701.85666722471</v>
      </c>
      <c r="O28" s="25" t="n">
        <f aca="false">(O11+O14)*CardFeePct</f>
        <v>6980.05600639923</v>
      </c>
      <c r="P28" s="25" t="n">
        <f aca="false">(P11+P14)*CardFeePct</f>
        <v>7189.4576865912</v>
      </c>
      <c r="Q28" s="25" t="n">
        <f aca="false">(Q11+Q14)*CardFeePct</f>
        <v>7405.14141718894</v>
      </c>
      <c r="R28" s="25" t="n">
        <f aca="false">(R11+R14)*CardFeePct</f>
        <v>7627.29565970461</v>
      </c>
      <c r="S28" s="25" t="n">
        <f aca="false">(S11+S14)*CardFeePct</f>
        <v>7856.11452949575</v>
      </c>
      <c r="T28" s="25" t="n">
        <f aca="false">(T11+T14)*CardFeePct</f>
        <v>8091.79796538062</v>
      </c>
      <c r="U28" s="34" t="n">
        <f aca="false">SUM(D28:T28)</f>
        <v>108523.650757373</v>
      </c>
      <c r="V28" s="1"/>
    </row>
    <row r="29" customFormat="false" ht="15" hidden="false" customHeight="false" outlineLevel="0" collapsed="false">
      <c r="A29" s="1"/>
      <c r="B29" s="6" t="s">
        <v>280</v>
      </c>
      <c r="C29" s="1"/>
      <c r="D29" s="25" t="n">
        <f aca="false">POS*(1+ExpInfl)^D$8</f>
        <v>6600</v>
      </c>
      <c r="E29" s="25" t="n">
        <f aca="false">POS*(1+ExpInfl)^E$8</f>
        <v>6798</v>
      </c>
      <c r="F29" s="25" t="n">
        <f aca="false">POS*(1+ExpInfl)^F$8</f>
        <v>7001.94</v>
      </c>
      <c r="G29" s="25" t="n">
        <f aca="false">POS*(1+ExpInfl)^G$8</f>
        <v>7211.9982</v>
      </c>
      <c r="H29" s="25" t="n">
        <f aca="false">POS*(1+ExpInfl)^H$8</f>
        <v>7428.358146</v>
      </c>
      <c r="I29" s="25" t="n">
        <f aca="false">POS*(1+ExpInfl)^I$8</f>
        <v>7651.20889038</v>
      </c>
      <c r="J29" s="25" t="n">
        <f aca="false">POS*(1+ExpInfl)^J$8</f>
        <v>7880.7451570914</v>
      </c>
      <c r="K29" s="25" t="n">
        <f aca="false">POS*(1+ExpInfl)^K$8</f>
        <v>8117.16751180414</v>
      </c>
      <c r="L29" s="25" t="n">
        <f aca="false">POS*(1+ExpInfl)^L$8</f>
        <v>8360.68253715827</v>
      </c>
      <c r="M29" s="25" t="n">
        <f aca="false">POS*(1+ExpInfl)^M$8</f>
        <v>8611.50301327302</v>
      </c>
      <c r="N29" s="25" t="n">
        <f aca="false">POS*(1+ExpInfl)^N$8</f>
        <v>8869.84810367121</v>
      </c>
      <c r="O29" s="25" t="n">
        <f aca="false">POS*(1+ExpInfl)^O$8</f>
        <v>9135.94354678134</v>
      </c>
      <c r="P29" s="25" t="n">
        <f aca="false">POS*(1+ExpInfl)^P$8</f>
        <v>9410.02185318478</v>
      </c>
      <c r="Q29" s="25" t="n">
        <f aca="false">POS*(1+ExpInfl)^Q$8</f>
        <v>9692.32250878033</v>
      </c>
      <c r="R29" s="25" t="n">
        <f aca="false">POS*(1+ExpInfl)^R$8</f>
        <v>9983.09218404374</v>
      </c>
      <c r="S29" s="25" t="n">
        <f aca="false">POS*(1+ExpInfl)^S$8</f>
        <v>10282.5849495651</v>
      </c>
      <c r="T29" s="25" t="n">
        <f aca="false">POS*(1+ExpInfl)^T$8</f>
        <v>10591.062498052</v>
      </c>
      <c r="U29" s="34" t="n">
        <f aca="false">SUM(D29:T29)</f>
        <v>143626.479099785</v>
      </c>
      <c r="V29" s="1"/>
    </row>
    <row r="30" customFormat="false" ht="15" hidden="false" customHeight="false" outlineLevel="0" collapsed="false">
      <c r="A30" s="1"/>
      <c r="B30" s="6" t="s">
        <v>281</v>
      </c>
      <c r="C30" s="1"/>
      <c r="D30" s="25" t="n">
        <f aca="false">D12*WFSupplyLb*(1+ExpInfl)^D$8</f>
        <v>3600</v>
      </c>
      <c r="E30" s="25" t="n">
        <f aca="false">E12*WFSupplyLb*(1+ExpInfl)^E$8</f>
        <v>3337.2</v>
      </c>
      <c r="F30" s="25" t="n">
        <f aca="false">F12*WFSupplyLb*(1+ExpInfl)^F$8</f>
        <v>3437.316</v>
      </c>
      <c r="G30" s="25" t="n">
        <f aca="false">G12*WFSupplyLb*(1+ExpInfl)^G$8</f>
        <v>3540.43548</v>
      </c>
      <c r="H30" s="25" t="n">
        <f aca="false">H12*WFSupplyLb*(1+ExpInfl)^H$8</f>
        <v>3646.6485444</v>
      </c>
      <c r="I30" s="25" t="n">
        <f aca="false">I12*WFSupplyLb*(1+ExpInfl)^I$8</f>
        <v>3756.048000732</v>
      </c>
      <c r="J30" s="25" t="n">
        <f aca="false">J12*WFSupplyLb*(1+ExpInfl)^J$8</f>
        <v>3868.72944075396</v>
      </c>
      <c r="K30" s="25" t="n">
        <f aca="false">K12*WFSupplyLb*(1+ExpInfl)^K$8</f>
        <v>3984.79132397658</v>
      </c>
      <c r="L30" s="25" t="n">
        <f aca="false">L12*WFSupplyLb*(1+ExpInfl)^L$8</f>
        <v>4104.33506369588</v>
      </c>
      <c r="M30" s="25" t="n">
        <f aca="false">M12*WFSupplyLb*(1+ExpInfl)^M$8</f>
        <v>4227.46511560675</v>
      </c>
      <c r="N30" s="25" t="n">
        <f aca="false">N12*WFSupplyLb*(1+ExpInfl)^N$8</f>
        <v>4354.28906907496</v>
      </c>
      <c r="O30" s="25" t="n">
        <f aca="false">O12*WFSupplyLb*(1+ExpInfl)^O$8</f>
        <v>4484.91774114721</v>
      </c>
      <c r="P30" s="25" t="n">
        <f aca="false">P12*WFSupplyLb*(1+ExpInfl)^P$8</f>
        <v>4619.46527338162</v>
      </c>
      <c r="Q30" s="25" t="n">
        <f aca="false">Q12*WFSupplyLb*(1+ExpInfl)^Q$8</f>
        <v>4758.04923158307</v>
      </c>
      <c r="R30" s="25" t="n">
        <f aca="false">R12*WFSupplyLb*(1+ExpInfl)^R$8</f>
        <v>4900.79070853056</v>
      </c>
      <c r="S30" s="25" t="n">
        <f aca="false">S12*WFSupplyLb*(1+ExpInfl)^S$8</f>
        <v>5047.81442978648</v>
      </c>
      <c r="T30" s="25" t="n">
        <f aca="false">T12*WFSupplyLb*(1+ExpInfl)^T$8</f>
        <v>5199.24886268007</v>
      </c>
      <c r="U30" s="34" t="n">
        <f aca="false">SUM(D30:T30)</f>
        <v>70867.5442853491</v>
      </c>
      <c r="V30" s="1"/>
    </row>
    <row r="31" customFormat="false" ht="15" hidden="false" customHeight="false" outlineLevel="0" collapsed="false">
      <c r="A31" s="1"/>
      <c r="B31" s="6" t="s">
        <v>282</v>
      </c>
      <c r="C31" s="1"/>
      <c r="D31" s="25" t="n">
        <f aca="false">D15*((SoapVend+SnackVend)*VendCOGS+DryClean*DCCost)/(DryClean+ATM+SoapVend+SnackVend+GameVend)</f>
        <v>8965.8</v>
      </c>
      <c r="E31" s="25" t="n">
        <f aca="false">E15*((SoapVend+SnackVend)*VendCOGS+DryClean*DCCost)/(DryClean+ATM+SoapVend+SnackVend+GameVend)</f>
        <v>9145.116</v>
      </c>
      <c r="F31" s="25" t="n">
        <f aca="false">F15*((SoapVend+SnackVend)*VendCOGS+DryClean*DCCost)/(DryClean+ATM+SoapVend+SnackVend+GameVend)</f>
        <v>9328.01832</v>
      </c>
      <c r="G31" s="25" t="n">
        <f aca="false">G15*((SoapVend+SnackVend)*VendCOGS+DryClean*DCCost)/(DryClean+ATM+SoapVend+SnackVend+GameVend)</f>
        <v>9514.5786864</v>
      </c>
      <c r="H31" s="25" t="n">
        <f aca="false">H15*((SoapVend+SnackVend)*VendCOGS+DryClean*DCCost)/(DryClean+ATM+SoapVend+SnackVend+GameVend)</f>
        <v>9704.870260128</v>
      </c>
      <c r="I31" s="25" t="n">
        <f aca="false">I15*((SoapVend+SnackVend)*VendCOGS+DryClean*DCCost)/(DryClean+ATM+SoapVend+SnackVend+GameVend)</f>
        <v>9898.96766533056</v>
      </c>
      <c r="J31" s="25" t="n">
        <f aca="false">J15*((SoapVend+SnackVend)*VendCOGS+DryClean*DCCost)/(DryClean+ATM+SoapVend+SnackVend+GameVend)</f>
        <v>10096.9470186372</v>
      </c>
      <c r="K31" s="25" t="n">
        <f aca="false">K15*((SoapVend+SnackVend)*VendCOGS+DryClean*DCCost)/(DryClean+ATM+SoapVend+SnackVend+GameVend)</f>
        <v>10298.8859590099</v>
      </c>
      <c r="L31" s="25" t="n">
        <f aca="false">L15*((SoapVend+SnackVend)*VendCOGS+DryClean*DCCost)/(DryClean+ATM+SoapVend+SnackVend+GameVend)</f>
        <v>10504.8636781901</v>
      </c>
      <c r="M31" s="25" t="n">
        <f aca="false">M15*((SoapVend+SnackVend)*VendCOGS+DryClean*DCCost)/(DryClean+ATM+SoapVend+SnackVend+GameVend)</f>
        <v>10714.9609517539</v>
      </c>
      <c r="N31" s="25" t="n">
        <f aca="false">N15*((SoapVend+SnackVend)*VendCOGS+DryClean*DCCost)/(DryClean+ATM+SoapVend+SnackVend+GameVend)</f>
        <v>10929.260170789</v>
      </c>
      <c r="O31" s="25" t="n">
        <f aca="false">O15*((SoapVend+SnackVend)*VendCOGS+DryClean*DCCost)/(DryClean+ATM+SoapVend+SnackVend+GameVend)</f>
        <v>11147.8453742048</v>
      </c>
      <c r="P31" s="25" t="n">
        <f aca="false">P15*((SoapVend+SnackVend)*VendCOGS+DryClean*DCCost)/(DryClean+ATM+SoapVend+SnackVend+GameVend)</f>
        <v>11370.8022816889</v>
      </c>
      <c r="Q31" s="25" t="n">
        <f aca="false">Q15*((SoapVend+SnackVend)*VendCOGS+DryClean*DCCost)/(DryClean+ATM+SoapVend+SnackVend+GameVend)</f>
        <v>11598.2183273226</v>
      </c>
      <c r="R31" s="25" t="n">
        <f aca="false">R15*((SoapVend+SnackVend)*VendCOGS+DryClean*DCCost)/(DryClean+ATM+SoapVend+SnackVend+GameVend)</f>
        <v>11830.1826938691</v>
      </c>
      <c r="S31" s="25" t="n">
        <f aca="false">S15*((SoapVend+SnackVend)*VendCOGS+DryClean*DCCost)/(DryClean+ATM+SoapVend+SnackVend+GameVend)</f>
        <v>12066.7863477465</v>
      </c>
      <c r="T31" s="25" t="n">
        <f aca="false">T15*((SoapVend+SnackVend)*VendCOGS+DryClean*DCCost)/(DryClean+ATM+SoapVend+SnackVend+GameVend)</f>
        <v>12308.1220747014</v>
      </c>
      <c r="U31" s="34" t="n">
        <f aca="false">SUM(D31:T31)</f>
        <v>179424.225809772</v>
      </c>
      <c r="V31" s="1"/>
    </row>
    <row r="32" customFormat="false" ht="15" hidden="false" customHeight="false" outlineLevel="0" collapsed="false">
      <c r="A32" s="1"/>
      <c r="B32" s="6" t="s">
        <v>283</v>
      </c>
      <c r="C32" s="1"/>
      <c r="D32" s="25" t="n">
        <f aca="false">TeleAlarmTrash*(1+ExpInfl)^D$8</f>
        <v>2595</v>
      </c>
      <c r="E32" s="25" t="n">
        <f aca="false">TeleAlarmTrash*(1+ExpInfl)^E$8</f>
        <v>2672.85</v>
      </c>
      <c r="F32" s="25" t="n">
        <f aca="false">TeleAlarmTrash*(1+ExpInfl)^F$8</f>
        <v>2753.0355</v>
      </c>
      <c r="G32" s="25" t="n">
        <f aca="false">TeleAlarmTrash*(1+ExpInfl)^G$8</f>
        <v>2835.626565</v>
      </c>
      <c r="H32" s="25" t="n">
        <f aca="false">TeleAlarmTrash*(1+ExpInfl)^H$8</f>
        <v>2920.69536195</v>
      </c>
      <c r="I32" s="25" t="n">
        <f aca="false">TeleAlarmTrash*(1+ExpInfl)^I$8</f>
        <v>3008.3162228085</v>
      </c>
      <c r="J32" s="25" t="n">
        <f aca="false">TeleAlarmTrash*(1+ExpInfl)^J$8</f>
        <v>3098.56570949276</v>
      </c>
      <c r="K32" s="25" t="n">
        <f aca="false">TeleAlarmTrash*(1+ExpInfl)^K$8</f>
        <v>3191.52268077754</v>
      </c>
      <c r="L32" s="25" t="n">
        <f aca="false">TeleAlarmTrash*(1+ExpInfl)^L$8</f>
        <v>3287.26836120086</v>
      </c>
      <c r="M32" s="25" t="n">
        <f aca="false">TeleAlarmTrash*(1+ExpInfl)^M$8</f>
        <v>3385.88641203689</v>
      </c>
      <c r="N32" s="25" t="n">
        <f aca="false">TeleAlarmTrash*(1+ExpInfl)^N$8</f>
        <v>3487.463004398</v>
      </c>
      <c r="O32" s="25" t="n">
        <f aca="false">TeleAlarmTrash*(1+ExpInfl)^O$8</f>
        <v>3592.08689452994</v>
      </c>
      <c r="P32" s="25" t="n">
        <f aca="false">TeleAlarmTrash*(1+ExpInfl)^P$8</f>
        <v>3699.84950136584</v>
      </c>
      <c r="Q32" s="25" t="n">
        <f aca="false">TeleAlarmTrash*(1+ExpInfl)^Q$8</f>
        <v>3810.84498640681</v>
      </c>
      <c r="R32" s="25" t="n">
        <f aca="false">TeleAlarmTrash*(1+ExpInfl)^R$8</f>
        <v>3925.17033599902</v>
      </c>
      <c r="S32" s="25" t="n">
        <f aca="false">TeleAlarmTrash*(1+ExpInfl)^S$8</f>
        <v>4042.92544607899</v>
      </c>
      <c r="T32" s="25" t="n">
        <f aca="false">TeleAlarmTrash*(1+ExpInfl)^T$8</f>
        <v>4164.21320946136</v>
      </c>
      <c r="U32" s="34" t="n">
        <f aca="false">SUM(D32:T32)</f>
        <v>56471.3201915065</v>
      </c>
      <c r="V32" s="1"/>
    </row>
    <row r="33" customFormat="false" ht="15" hidden="false" customHeight="false" outlineLevel="0" collapsed="false">
      <c r="A33" s="1"/>
      <c r="B33" s="6" t="s">
        <v>152</v>
      </c>
      <c r="C33" s="1"/>
      <c r="D33" s="25" t="n">
        <f aca="false">MiscSupplies*(1+ExpInfl)^D$8</f>
        <v>1800</v>
      </c>
      <c r="E33" s="25" t="n">
        <f aca="false">MiscSupplies*(1+ExpInfl)^E$8</f>
        <v>1854</v>
      </c>
      <c r="F33" s="25" t="n">
        <f aca="false">MiscSupplies*(1+ExpInfl)^F$8</f>
        <v>1909.62</v>
      </c>
      <c r="G33" s="25" t="n">
        <f aca="false">MiscSupplies*(1+ExpInfl)^G$8</f>
        <v>1966.9086</v>
      </c>
      <c r="H33" s="25" t="n">
        <f aca="false">MiscSupplies*(1+ExpInfl)^H$8</f>
        <v>2025.915858</v>
      </c>
      <c r="I33" s="25" t="n">
        <f aca="false">MiscSupplies*(1+ExpInfl)^I$8</f>
        <v>2086.69333374</v>
      </c>
      <c r="J33" s="25" t="n">
        <f aca="false">MiscSupplies*(1+ExpInfl)^J$8</f>
        <v>2149.2941337522</v>
      </c>
      <c r="K33" s="25" t="n">
        <f aca="false">MiscSupplies*(1+ExpInfl)^K$8</f>
        <v>2213.77295776477</v>
      </c>
      <c r="L33" s="25" t="n">
        <f aca="false">MiscSupplies*(1+ExpInfl)^L$8</f>
        <v>2280.18614649771</v>
      </c>
      <c r="M33" s="25" t="n">
        <f aca="false">MiscSupplies*(1+ExpInfl)^M$8</f>
        <v>2348.59173089264</v>
      </c>
      <c r="N33" s="25" t="n">
        <f aca="false">MiscSupplies*(1+ExpInfl)^N$8</f>
        <v>2419.04948281942</v>
      </c>
      <c r="O33" s="25" t="n">
        <f aca="false">MiscSupplies*(1+ExpInfl)^O$8</f>
        <v>2491.620967304</v>
      </c>
      <c r="P33" s="25" t="n">
        <f aca="false">MiscSupplies*(1+ExpInfl)^P$8</f>
        <v>2566.36959632312</v>
      </c>
      <c r="Q33" s="25" t="n">
        <f aca="false">MiscSupplies*(1+ExpInfl)^Q$8</f>
        <v>2643.36068421282</v>
      </c>
      <c r="R33" s="25" t="n">
        <f aca="false">MiscSupplies*(1+ExpInfl)^R$8</f>
        <v>2722.6615047392</v>
      </c>
      <c r="S33" s="25" t="n">
        <f aca="false">MiscSupplies*(1+ExpInfl)^S$8</f>
        <v>2804.34134988138</v>
      </c>
      <c r="T33" s="25" t="n">
        <f aca="false">MiscSupplies*(1+ExpInfl)^T$8</f>
        <v>2888.47159037782</v>
      </c>
      <c r="U33" s="34" t="n">
        <f aca="false">SUM(D33:T33)</f>
        <v>39170.8579363051</v>
      </c>
      <c r="V33" s="1"/>
    </row>
    <row r="34" customFormat="false" ht="15" hidden="false" customHeight="false" outlineLevel="0" collapsed="false">
      <c r="A34" s="1"/>
      <c r="B34" s="6" t="s">
        <v>285</v>
      </c>
      <c r="C34" s="1"/>
      <c r="D34" s="25" t="n">
        <f aca="false">ProFees*(1+ExpInfl)^D$8</f>
        <v>5000</v>
      </c>
      <c r="E34" s="25" t="n">
        <f aca="false">ProFees*(1+ExpInfl)^E$8</f>
        <v>5150</v>
      </c>
      <c r="F34" s="25" t="n">
        <f aca="false">ProFees*(1+ExpInfl)^F$8</f>
        <v>5304.5</v>
      </c>
      <c r="G34" s="25" t="n">
        <f aca="false">ProFees*(1+ExpInfl)^G$8</f>
        <v>5463.635</v>
      </c>
      <c r="H34" s="25" t="n">
        <f aca="false">ProFees*(1+ExpInfl)^H$8</f>
        <v>5627.54405</v>
      </c>
      <c r="I34" s="25" t="n">
        <f aca="false">ProFees*(1+ExpInfl)^I$8</f>
        <v>5796.3703715</v>
      </c>
      <c r="J34" s="25" t="n">
        <f aca="false">ProFees*(1+ExpInfl)^J$8</f>
        <v>5970.261482645</v>
      </c>
      <c r="K34" s="25" t="n">
        <f aca="false">ProFees*(1+ExpInfl)^K$8</f>
        <v>6149.36932712435</v>
      </c>
      <c r="L34" s="25" t="n">
        <f aca="false">ProFees*(1+ExpInfl)^L$8</f>
        <v>6333.85040693808</v>
      </c>
      <c r="M34" s="25" t="n">
        <f aca="false">ProFees*(1+ExpInfl)^M$8</f>
        <v>6523.86591914623</v>
      </c>
      <c r="N34" s="25" t="n">
        <f aca="false">ProFees*(1+ExpInfl)^N$8</f>
        <v>6719.58189672061</v>
      </c>
      <c r="O34" s="25" t="n">
        <f aca="false">ProFees*(1+ExpInfl)^O$8</f>
        <v>6921.16935362223</v>
      </c>
      <c r="P34" s="25" t="n">
        <f aca="false">ProFees*(1+ExpInfl)^P$8</f>
        <v>7128.8044342309</v>
      </c>
      <c r="Q34" s="25" t="n">
        <f aca="false">ProFees*(1+ExpInfl)^Q$8</f>
        <v>7342.66856725782</v>
      </c>
      <c r="R34" s="25" t="n">
        <f aca="false">ProFees*(1+ExpInfl)^R$8</f>
        <v>7562.94862427556</v>
      </c>
      <c r="S34" s="25" t="n">
        <f aca="false">ProFees*(1+ExpInfl)^S$8</f>
        <v>7789.83708300383</v>
      </c>
      <c r="T34" s="25" t="n">
        <f aca="false">ProFees*(1+ExpInfl)^T$8</f>
        <v>8023.53219549394</v>
      </c>
      <c r="U34" s="34" t="n">
        <f aca="false">SUM(D34:T34)</f>
        <v>108807.938711959</v>
      </c>
      <c r="V34" s="1"/>
    </row>
    <row r="35" customFormat="false" ht="15" hidden="false" customHeight="false" outlineLevel="0" collapsed="false">
      <c r="A35" s="1"/>
      <c r="B35" s="6" t="s">
        <v>286</v>
      </c>
      <c r="C35" s="1"/>
      <c r="D35" s="25" t="n">
        <f aca="false">Licenses*(1+ExpInfl)^D$8</f>
        <v>1000</v>
      </c>
      <c r="E35" s="25" t="n">
        <f aca="false">Licenses*(1+ExpInfl)^E$8</f>
        <v>1030</v>
      </c>
      <c r="F35" s="25" t="n">
        <f aca="false">Licenses*(1+ExpInfl)^F$8</f>
        <v>1060.9</v>
      </c>
      <c r="G35" s="25" t="n">
        <f aca="false">Licenses*(1+ExpInfl)^G$8</f>
        <v>1092.727</v>
      </c>
      <c r="H35" s="25" t="n">
        <f aca="false">Licenses*(1+ExpInfl)^H$8</f>
        <v>1125.50881</v>
      </c>
      <c r="I35" s="25" t="n">
        <f aca="false">Licenses*(1+ExpInfl)^I$8</f>
        <v>1159.2740743</v>
      </c>
      <c r="J35" s="25" t="n">
        <f aca="false">Licenses*(1+ExpInfl)^J$8</f>
        <v>1194.052296529</v>
      </c>
      <c r="K35" s="25" t="n">
        <f aca="false">Licenses*(1+ExpInfl)^K$8</f>
        <v>1229.87386542487</v>
      </c>
      <c r="L35" s="25" t="n">
        <f aca="false">Licenses*(1+ExpInfl)^L$8</f>
        <v>1266.77008138762</v>
      </c>
      <c r="M35" s="25" t="n">
        <f aca="false">Licenses*(1+ExpInfl)^M$8</f>
        <v>1304.77318382925</v>
      </c>
      <c r="N35" s="25" t="n">
        <f aca="false">Licenses*(1+ExpInfl)^N$8</f>
        <v>1343.91637934412</v>
      </c>
      <c r="O35" s="25" t="n">
        <f aca="false">Licenses*(1+ExpInfl)^O$8</f>
        <v>1384.23387072445</v>
      </c>
      <c r="P35" s="25" t="n">
        <f aca="false">Licenses*(1+ExpInfl)^P$8</f>
        <v>1425.76088684618</v>
      </c>
      <c r="Q35" s="25" t="n">
        <f aca="false">Licenses*(1+ExpInfl)^Q$8</f>
        <v>1468.53371345156</v>
      </c>
      <c r="R35" s="25" t="n">
        <f aca="false">Licenses*(1+ExpInfl)^R$8</f>
        <v>1512.58972485511</v>
      </c>
      <c r="S35" s="25" t="n">
        <f aca="false">Licenses*(1+ExpInfl)^S$8</f>
        <v>1557.96741660077</v>
      </c>
      <c r="T35" s="25" t="n">
        <f aca="false">Licenses*(1+ExpInfl)^T$8</f>
        <v>1604.70643909879</v>
      </c>
      <c r="U35" s="34" t="n">
        <f aca="false">SUM(D35:T35)</f>
        <v>21761.5877423917</v>
      </c>
      <c r="V35" s="1"/>
    </row>
    <row r="36" customFormat="false" ht="15" hidden="false" customHeight="false" outlineLevel="0" collapsed="false">
      <c r="A36" s="1"/>
      <c r="B36" s="6" t="s">
        <v>158</v>
      </c>
      <c r="C36" s="1"/>
      <c r="D36" s="25" t="n">
        <f aca="false">PayrollSvc*(1+ExpInfl)^D$8</f>
        <v>1200</v>
      </c>
      <c r="E36" s="25" t="n">
        <f aca="false">PayrollSvc*(1+ExpInfl)^E$8</f>
        <v>1236</v>
      </c>
      <c r="F36" s="25" t="n">
        <f aca="false">PayrollSvc*(1+ExpInfl)^F$8</f>
        <v>1273.08</v>
      </c>
      <c r="G36" s="25" t="n">
        <f aca="false">PayrollSvc*(1+ExpInfl)^G$8</f>
        <v>1311.2724</v>
      </c>
      <c r="H36" s="25" t="n">
        <f aca="false">PayrollSvc*(1+ExpInfl)^H$8</f>
        <v>1350.610572</v>
      </c>
      <c r="I36" s="25" t="n">
        <f aca="false">PayrollSvc*(1+ExpInfl)^I$8</f>
        <v>1391.12888916</v>
      </c>
      <c r="J36" s="25" t="n">
        <f aca="false">PayrollSvc*(1+ExpInfl)^J$8</f>
        <v>1432.8627558348</v>
      </c>
      <c r="K36" s="25" t="n">
        <f aca="false">PayrollSvc*(1+ExpInfl)^K$8</f>
        <v>1475.84863850984</v>
      </c>
      <c r="L36" s="25" t="n">
        <f aca="false">PayrollSvc*(1+ExpInfl)^L$8</f>
        <v>1520.12409766514</v>
      </c>
      <c r="M36" s="25" t="n">
        <f aca="false">PayrollSvc*(1+ExpInfl)^M$8</f>
        <v>1565.72782059509</v>
      </c>
      <c r="N36" s="25" t="n">
        <f aca="false">PayrollSvc*(1+ExpInfl)^N$8</f>
        <v>1612.69965521295</v>
      </c>
      <c r="O36" s="25" t="n">
        <f aca="false">PayrollSvc*(1+ExpInfl)^O$8</f>
        <v>1661.08064486934</v>
      </c>
      <c r="P36" s="25" t="n">
        <f aca="false">PayrollSvc*(1+ExpInfl)^P$8</f>
        <v>1710.91306421542</v>
      </c>
      <c r="Q36" s="25" t="n">
        <f aca="false">PayrollSvc*(1+ExpInfl)^Q$8</f>
        <v>1762.24045614188</v>
      </c>
      <c r="R36" s="25" t="n">
        <f aca="false">PayrollSvc*(1+ExpInfl)^R$8</f>
        <v>1815.10766982613</v>
      </c>
      <c r="S36" s="25" t="n">
        <f aca="false">PayrollSvc*(1+ExpInfl)^S$8</f>
        <v>1869.56089992092</v>
      </c>
      <c r="T36" s="25" t="n">
        <f aca="false">PayrollSvc*(1+ExpInfl)^T$8</f>
        <v>1925.64772691855</v>
      </c>
      <c r="U36" s="34" t="n">
        <f aca="false">SUM(D36:T36)</f>
        <v>26113.9052908701</v>
      </c>
      <c r="V36" s="1"/>
    </row>
    <row r="37" customFormat="false" ht="15" hidden="false" customHeight="false" outlineLevel="0" collapsed="false">
      <c r="A37" s="1"/>
      <c r="B37" s="6" t="s">
        <v>287</v>
      </c>
      <c r="C37" s="1"/>
      <c r="D37" s="25" t="n">
        <f aca="false">Marketing*(1+ExpInfl)^D$8</f>
        <v>3000</v>
      </c>
      <c r="E37" s="25" t="n">
        <f aca="false">Marketing*(1+ExpInfl)^E$8</f>
        <v>3090</v>
      </c>
      <c r="F37" s="25" t="n">
        <f aca="false">Marketing*(1+ExpInfl)^F$8</f>
        <v>3182.7</v>
      </c>
      <c r="G37" s="25" t="n">
        <f aca="false">Marketing*(1+ExpInfl)^G$8</f>
        <v>3278.181</v>
      </c>
      <c r="H37" s="25" t="n">
        <f aca="false">Marketing*(1+ExpInfl)^H$8</f>
        <v>3376.52643</v>
      </c>
      <c r="I37" s="25" t="n">
        <f aca="false">Marketing*(1+ExpInfl)^I$8</f>
        <v>3477.8222229</v>
      </c>
      <c r="J37" s="25" t="n">
        <f aca="false">Marketing*(1+ExpInfl)^J$8</f>
        <v>3582.156889587</v>
      </c>
      <c r="K37" s="25" t="n">
        <f aca="false">Marketing*(1+ExpInfl)^K$8</f>
        <v>3689.62159627461</v>
      </c>
      <c r="L37" s="25" t="n">
        <f aca="false">Marketing*(1+ExpInfl)^L$8</f>
        <v>3800.31024416285</v>
      </c>
      <c r="M37" s="25" t="n">
        <f aca="false">Marketing*(1+ExpInfl)^M$8</f>
        <v>3914.31955148773</v>
      </c>
      <c r="N37" s="25" t="n">
        <f aca="false">Marketing*(1+ExpInfl)^N$8</f>
        <v>4031.74913803237</v>
      </c>
      <c r="O37" s="25" t="n">
        <f aca="false">Marketing*(1+ExpInfl)^O$8</f>
        <v>4152.70161217334</v>
      </c>
      <c r="P37" s="25" t="n">
        <f aca="false">Marketing*(1+ExpInfl)^P$8</f>
        <v>4277.28266053854</v>
      </c>
      <c r="Q37" s="25" t="n">
        <f aca="false">Marketing*(1+ExpInfl)^Q$8</f>
        <v>4405.60114035469</v>
      </c>
      <c r="R37" s="25" t="n">
        <f aca="false">Marketing*(1+ExpInfl)^R$8</f>
        <v>4537.76917456534</v>
      </c>
      <c r="S37" s="25" t="n">
        <f aca="false">Marketing*(1+ExpInfl)^S$8</f>
        <v>4673.9022498023</v>
      </c>
      <c r="T37" s="25" t="n">
        <f aca="false">Marketing*(1+ExpInfl)^T$8</f>
        <v>4814.11931729637</v>
      </c>
      <c r="U37" s="34" t="n">
        <f aca="false">SUM(D37:T37)</f>
        <v>65284.7632271751</v>
      </c>
      <c r="V37" s="1"/>
    </row>
    <row r="38" customFormat="false" ht="15" hidden="false" customHeight="false" outlineLevel="0" collapsed="false">
      <c r="A38" s="1"/>
      <c r="B38" s="6" t="s">
        <v>371</v>
      </c>
      <c r="C38" s="1"/>
      <c r="D38" s="25" t="n">
        <f aca="false">IF(D$5&gt;=HandoffYear,MgrHours*52*MgrPremium*(1+WageGrowth)^D$8*(1+Burden),0)</f>
        <v>0</v>
      </c>
      <c r="E38" s="25" t="n">
        <f aca="false">IF(E$5&gt;=HandoffYear,MgrHours*52*MgrPremium*(1+WageGrowth)^E$8*(1+Burden),0)</f>
        <v>0</v>
      </c>
      <c r="F38" s="25" t="n">
        <f aca="false">IF(F$5&gt;=HandoffYear,MgrHours*52*MgrPremium*(1+WageGrowth)^F$8*(1+Burden),0)</f>
        <v>0</v>
      </c>
      <c r="G38" s="25" t="n">
        <f aca="false">IF(G$5&gt;=HandoffYear,MgrHours*52*MgrPremium*(1+WageGrowth)^G$8*(1+Burden),0)</f>
        <v>0</v>
      </c>
      <c r="H38" s="25" t="n">
        <f aca="false">IF(H$5&gt;=HandoffYear,MgrHours*52*MgrPremium*(1+WageGrowth)^H$8*(1+Burden),0)</f>
        <v>0</v>
      </c>
      <c r="I38" s="25" t="n">
        <f aca="false">IF(I$5&gt;=HandoffYear,MgrHours*52*MgrPremium*(1+WageGrowth)^I$8*(1+Burden),0)</f>
        <v>0</v>
      </c>
      <c r="J38" s="25" t="n">
        <f aca="false">IF(J$5&gt;=HandoffYear,MgrHours*52*MgrPremium*(1+WageGrowth)^J$8*(1+Burden),0)</f>
        <v>0</v>
      </c>
      <c r="K38" s="25" t="n">
        <f aca="false">IF(K$5&gt;=HandoffYear,MgrHours*52*MgrPremium*(1+WageGrowth)^K$8*(1+Burden),0)</f>
        <v>0</v>
      </c>
      <c r="L38" s="25" t="n">
        <f aca="false">IF(L$5&gt;=HandoffYear,MgrHours*52*MgrPremium*(1+WageGrowth)^L$8*(1+Burden),0)</f>
        <v>0</v>
      </c>
      <c r="M38" s="25" t="n">
        <f aca="false">IF(M$5&gt;=HandoffYear,MgrHours*52*MgrPremium*(1+WageGrowth)^M$8*(1+Burden),0)</f>
        <v>0</v>
      </c>
      <c r="N38" s="25" t="n">
        <f aca="false">IF(N$5&gt;=HandoffYear,MgrHours*52*MgrPremium*(1+WageGrowth)^N$8*(1+Burden),0)</f>
        <v>0</v>
      </c>
      <c r="O38" s="25" t="n">
        <f aca="false">IF(O$5&gt;=HandoffYear,MgrHours*52*MgrPremium*(1+WageGrowth)^O$8*(1+Burden),0)</f>
        <v>0</v>
      </c>
      <c r="P38" s="25" t="n">
        <f aca="false">IF(P$5&gt;=HandoffYear,MgrHours*52*MgrPremium*(1+WageGrowth)^P$8*(1+Burden),0)</f>
        <v>0</v>
      </c>
      <c r="Q38" s="25" t="n">
        <f aca="false">IF(Q$5&gt;=HandoffYear,MgrHours*52*MgrPremium*(1+WageGrowth)^Q$8*(1+Burden),0)</f>
        <v>0</v>
      </c>
      <c r="R38" s="25" t="n">
        <f aca="false">IF(R$5&gt;=HandoffYear,MgrHours*52*MgrPremium*(1+WageGrowth)^R$8*(1+Burden),0)</f>
        <v>0</v>
      </c>
      <c r="S38" s="25" t="n">
        <f aca="false">IF(S$5&gt;=HandoffYear,MgrHours*52*MgrPremium*(1+WageGrowth)^S$8*(1+Burden),0)</f>
        <v>0</v>
      </c>
      <c r="T38" s="25" t="n">
        <f aca="false">IF(T$5&gt;=HandoffYear,MgrHours*52*MgrPremium*(1+WageGrowth)^T$8*(1+Burden),0)</f>
        <v>0</v>
      </c>
      <c r="U38" s="34" t="n">
        <f aca="false">SUM(D38:T38)</f>
        <v>0</v>
      </c>
      <c r="V38" s="1"/>
    </row>
    <row r="39" customFormat="false" ht="15" hidden="false" customHeight="false" outlineLevel="0" collapsed="false">
      <c r="A39" s="1"/>
      <c r="B39" s="6" t="s">
        <v>372</v>
      </c>
      <c r="C39" s="1"/>
      <c r="D39" s="25" t="n">
        <f aca="false">D16/LbsPerHour*DelivLaborShare*Wage*(1+WageGrowth)^D$8*(1+Burden)</f>
        <v>0</v>
      </c>
      <c r="E39" s="25" t="n">
        <f aca="false">E16/LbsPerHour*DelivLaborShare*Wage*(1+WageGrowth)^E$8*(1+Burden)</f>
        <v>0</v>
      </c>
      <c r="F39" s="25" t="n">
        <f aca="false">F16/LbsPerHour*DelivLaborShare*Wage*(1+WageGrowth)^F$8*(1+Burden)</f>
        <v>0</v>
      </c>
      <c r="G39" s="25" t="n">
        <f aca="false">G16/LbsPerHour*DelivLaborShare*Wage*(1+WageGrowth)^G$8*(1+Burden)</f>
        <v>0</v>
      </c>
      <c r="H39" s="25" t="n">
        <f aca="false">H16/LbsPerHour*DelivLaborShare*Wage*(1+WageGrowth)^H$8*(1+Burden)</f>
        <v>0</v>
      </c>
      <c r="I39" s="25" t="n">
        <f aca="false">I16/LbsPerHour*DelivLaborShare*Wage*(1+WageGrowth)^I$8*(1+Burden)</f>
        <v>0</v>
      </c>
      <c r="J39" s="25" t="n">
        <f aca="false">J16/LbsPerHour*DelivLaborShare*Wage*(1+WageGrowth)^J$8*(1+Burden)</f>
        <v>0</v>
      </c>
      <c r="K39" s="25" t="n">
        <f aca="false">K16/LbsPerHour*DelivLaborShare*Wage*(1+WageGrowth)^K$8*(1+Burden)</f>
        <v>0</v>
      </c>
      <c r="L39" s="25" t="n">
        <f aca="false">L16/LbsPerHour*DelivLaborShare*Wage*(1+WageGrowth)^L$8*(1+Burden)</f>
        <v>0</v>
      </c>
      <c r="M39" s="25" t="n">
        <f aca="false">M16/LbsPerHour*DelivLaborShare*Wage*(1+WageGrowth)^M$8*(1+Burden)</f>
        <v>0</v>
      </c>
      <c r="N39" s="25" t="n">
        <f aca="false">N16/LbsPerHour*DelivLaborShare*Wage*(1+WageGrowth)^N$8*(1+Burden)</f>
        <v>0</v>
      </c>
      <c r="O39" s="25" t="n">
        <f aca="false">O16/LbsPerHour*DelivLaborShare*Wage*(1+WageGrowth)^O$8*(1+Burden)</f>
        <v>0</v>
      </c>
      <c r="P39" s="25" t="n">
        <f aca="false">P16/LbsPerHour*DelivLaborShare*Wage*(1+WageGrowth)^P$8*(1+Burden)</f>
        <v>0</v>
      </c>
      <c r="Q39" s="25" t="n">
        <f aca="false">Q16/LbsPerHour*DelivLaborShare*Wage*(1+WageGrowth)^Q$8*(1+Burden)</f>
        <v>0</v>
      </c>
      <c r="R39" s="25" t="n">
        <f aca="false">R16/LbsPerHour*DelivLaborShare*Wage*(1+WageGrowth)^R$8*(1+Burden)</f>
        <v>0</v>
      </c>
      <c r="S39" s="25" t="n">
        <f aca="false">S16/LbsPerHour*DelivLaborShare*Wage*(1+WageGrowth)^S$8*(1+Burden)</f>
        <v>0</v>
      </c>
      <c r="T39" s="25" t="n">
        <f aca="false">T16/LbsPerHour*DelivLaborShare*Wage*(1+WageGrowth)^T$8*(1+Burden)</f>
        <v>0</v>
      </c>
      <c r="U39" s="34" t="n">
        <f aca="false">SUM(D39:T39)</f>
        <v>0</v>
      </c>
      <c r="V39" s="1"/>
    </row>
    <row r="40" customFormat="false" ht="15" hidden="false" customHeight="false" outlineLevel="0" collapsed="false">
      <c r="A40" s="1"/>
      <c r="B40" s="6" t="s">
        <v>373</v>
      </c>
      <c r="C40" s="1"/>
      <c r="D40" s="25" t="n">
        <f aca="false">D16*(WFSupplyLb+DelivUtilLb)*(1+ExpInfl)^D$8</f>
        <v>0</v>
      </c>
      <c r="E40" s="25" t="n">
        <f aca="false">E16*(WFSupplyLb+DelivUtilLb)*(1+ExpInfl)^E$8</f>
        <v>0</v>
      </c>
      <c r="F40" s="25" t="n">
        <f aca="false">F16*(WFSupplyLb+DelivUtilLb)*(1+ExpInfl)^F$8</f>
        <v>0</v>
      </c>
      <c r="G40" s="25" t="n">
        <f aca="false">G16*(WFSupplyLb+DelivUtilLb)*(1+ExpInfl)^G$8</f>
        <v>0</v>
      </c>
      <c r="H40" s="25" t="n">
        <f aca="false">H16*(WFSupplyLb+DelivUtilLb)*(1+ExpInfl)^H$8</f>
        <v>0</v>
      </c>
      <c r="I40" s="25" t="n">
        <f aca="false">I16*(WFSupplyLb+DelivUtilLb)*(1+ExpInfl)^I$8</f>
        <v>0</v>
      </c>
      <c r="J40" s="25" t="n">
        <f aca="false">J16*(WFSupplyLb+DelivUtilLb)*(1+ExpInfl)^J$8</f>
        <v>0</v>
      </c>
      <c r="K40" s="25" t="n">
        <f aca="false">K16*(WFSupplyLb+DelivUtilLb)*(1+ExpInfl)^K$8</f>
        <v>0</v>
      </c>
      <c r="L40" s="25" t="n">
        <f aca="false">L16*(WFSupplyLb+DelivUtilLb)*(1+ExpInfl)^L$8</f>
        <v>0</v>
      </c>
      <c r="M40" s="25" t="n">
        <f aca="false">M16*(WFSupplyLb+DelivUtilLb)*(1+ExpInfl)^M$8</f>
        <v>0</v>
      </c>
      <c r="N40" s="25" t="n">
        <f aca="false">N16*(WFSupplyLb+DelivUtilLb)*(1+ExpInfl)^N$8</f>
        <v>0</v>
      </c>
      <c r="O40" s="25" t="n">
        <f aca="false">O16*(WFSupplyLb+DelivUtilLb)*(1+ExpInfl)^O$8</f>
        <v>0</v>
      </c>
      <c r="P40" s="25" t="n">
        <f aca="false">P16*(WFSupplyLb+DelivUtilLb)*(1+ExpInfl)^P$8</f>
        <v>0</v>
      </c>
      <c r="Q40" s="25" t="n">
        <f aca="false">Q16*(WFSupplyLb+DelivUtilLb)*(1+ExpInfl)^Q$8</f>
        <v>0</v>
      </c>
      <c r="R40" s="25" t="n">
        <f aca="false">R16*(WFSupplyLb+DelivUtilLb)*(1+ExpInfl)^R$8</f>
        <v>0</v>
      </c>
      <c r="S40" s="25" t="n">
        <f aca="false">S16*(WFSupplyLb+DelivUtilLb)*(1+ExpInfl)^S$8</f>
        <v>0</v>
      </c>
      <c r="T40" s="25" t="n">
        <f aca="false">T16*(WFSupplyLb+DelivUtilLb)*(1+ExpInfl)^T$8</f>
        <v>0</v>
      </c>
      <c r="U40" s="34" t="n">
        <f aca="false">SUM(D40:T40)</f>
        <v>0</v>
      </c>
      <c r="V40" s="1"/>
    </row>
    <row r="41" customFormat="false" ht="15" hidden="false" customHeight="false" outlineLevel="0" collapsed="false">
      <c r="A41" s="1"/>
      <c r="B41" s="6" t="s">
        <v>374</v>
      </c>
      <c r="C41" s="1"/>
      <c r="D41" s="25" t="n">
        <f aca="false">IF(D16&gt;0,DriverHours*52*DriverWage*(1+WageGrowth)^D$8*(1+Burden)+VehicleCost*(1+ExpInfl)^D$8,0)</f>
        <v>0</v>
      </c>
      <c r="E41" s="25" t="n">
        <f aca="false">IF(E16&gt;0,DriverHours*52*DriverWage*(1+WageGrowth)^E$8*(1+Burden)+VehicleCost*(1+ExpInfl)^E$8,0)</f>
        <v>0</v>
      </c>
      <c r="F41" s="25" t="n">
        <f aca="false">IF(F16&gt;0,DriverHours*52*DriverWage*(1+WageGrowth)^F$8*(1+Burden)+VehicleCost*(1+ExpInfl)^F$8,0)</f>
        <v>0</v>
      </c>
      <c r="G41" s="25" t="n">
        <f aca="false">IF(G16&gt;0,DriverHours*52*DriverWage*(1+WageGrowth)^G$8*(1+Burden)+VehicleCost*(1+ExpInfl)^G$8,0)</f>
        <v>0</v>
      </c>
      <c r="H41" s="25" t="n">
        <f aca="false">IF(H16&gt;0,DriverHours*52*DriverWage*(1+WageGrowth)^H$8*(1+Burden)+VehicleCost*(1+ExpInfl)^H$8,0)</f>
        <v>0</v>
      </c>
      <c r="I41" s="25" t="n">
        <f aca="false">IF(I16&gt;0,DriverHours*52*DriverWage*(1+WageGrowth)^I$8*(1+Burden)+VehicleCost*(1+ExpInfl)^I$8,0)</f>
        <v>0</v>
      </c>
      <c r="J41" s="25" t="n">
        <f aca="false">IF(J16&gt;0,DriverHours*52*DriverWage*(1+WageGrowth)^J$8*(1+Burden)+VehicleCost*(1+ExpInfl)^J$8,0)</f>
        <v>0</v>
      </c>
      <c r="K41" s="25" t="n">
        <f aca="false">IF(K16&gt;0,DriverHours*52*DriverWage*(1+WageGrowth)^K$8*(1+Burden)+VehicleCost*(1+ExpInfl)^K$8,0)</f>
        <v>0</v>
      </c>
      <c r="L41" s="25" t="n">
        <f aca="false">IF(L16&gt;0,DriverHours*52*DriverWage*(1+WageGrowth)^L$8*(1+Burden)+VehicleCost*(1+ExpInfl)^L$8,0)</f>
        <v>0</v>
      </c>
      <c r="M41" s="25" t="n">
        <f aca="false">IF(M16&gt;0,DriverHours*52*DriverWage*(1+WageGrowth)^M$8*(1+Burden)+VehicleCost*(1+ExpInfl)^M$8,0)</f>
        <v>0</v>
      </c>
      <c r="N41" s="25" t="n">
        <f aca="false">IF(N16&gt;0,DriverHours*52*DriverWage*(1+WageGrowth)^N$8*(1+Burden)+VehicleCost*(1+ExpInfl)^N$8,0)</f>
        <v>0</v>
      </c>
      <c r="O41" s="25" t="n">
        <f aca="false">IF(O16&gt;0,DriverHours*52*DriverWage*(1+WageGrowth)^O$8*(1+Burden)+VehicleCost*(1+ExpInfl)^O$8,0)</f>
        <v>0</v>
      </c>
      <c r="P41" s="25" t="n">
        <f aca="false">IF(P16&gt;0,DriverHours*52*DriverWage*(1+WageGrowth)^P$8*(1+Burden)+VehicleCost*(1+ExpInfl)^P$8,0)</f>
        <v>0</v>
      </c>
      <c r="Q41" s="25" t="n">
        <f aca="false">IF(Q16&gt;0,DriverHours*52*DriverWage*(1+WageGrowth)^Q$8*(1+Burden)+VehicleCost*(1+ExpInfl)^Q$8,0)</f>
        <v>0</v>
      </c>
      <c r="R41" s="25" t="n">
        <f aca="false">IF(R16&gt;0,DriverHours*52*DriverWage*(1+WageGrowth)^R$8*(1+Burden)+VehicleCost*(1+ExpInfl)^R$8,0)</f>
        <v>0</v>
      </c>
      <c r="S41" s="25" t="n">
        <f aca="false">IF(S16&gt;0,DriverHours*52*DriverWage*(1+WageGrowth)^S$8*(1+Burden)+VehicleCost*(1+ExpInfl)^S$8,0)</f>
        <v>0</v>
      </c>
      <c r="T41" s="25" t="n">
        <f aca="false">IF(T16&gt;0,DriverHours*52*DriverWage*(1+WageGrowth)^T$8*(1+Burden)+VehicleCost*(1+ExpInfl)^T$8,0)</f>
        <v>0</v>
      </c>
      <c r="U41" s="34" t="n">
        <f aca="false">SUM(D41:T41)</f>
        <v>0</v>
      </c>
      <c r="V41" s="1"/>
    </row>
    <row r="42" customFormat="false" ht="15" hidden="false" customHeight="false" outlineLevel="0" collapsed="false">
      <c r="A42" s="1"/>
      <c r="B42" s="6" t="s">
        <v>288</v>
      </c>
      <c r="C42" s="1"/>
      <c r="D42" s="25" t="n">
        <f aca="false">D18*ContPct</f>
        <v>3701.7</v>
      </c>
      <c r="E42" s="25" t="n">
        <f aca="false">E18*ContPct</f>
        <v>3869.334</v>
      </c>
      <c r="F42" s="25" t="n">
        <f aca="false">F18*ContPct</f>
        <v>3981.92868</v>
      </c>
      <c r="G42" s="25" t="n">
        <f aca="false">G18*ContPct</f>
        <v>4097.8314936</v>
      </c>
      <c r="H42" s="25" t="n">
        <f aca="false">H18*ContPct</f>
        <v>4294.83171896786</v>
      </c>
      <c r="I42" s="25" t="n">
        <f aca="false">I18*ContPct</f>
        <v>4419.97799984618</v>
      </c>
      <c r="J42" s="25" t="n">
        <f aca="false">J18*ContPct</f>
        <v>4548.80469573703</v>
      </c>
      <c r="K42" s="25" t="n">
        <f aca="false">K18*ContPct</f>
        <v>4681.42073962251</v>
      </c>
      <c r="L42" s="25" t="n">
        <f aca="false">L18*ContPct</f>
        <v>4817.93830288483</v>
      </c>
      <c r="M42" s="25" t="n">
        <f aca="false">M18*ContPct</f>
        <v>4958.47289186649</v>
      </c>
      <c r="N42" s="25" t="n">
        <f aca="false">N18*ContPct</f>
        <v>5103.1434473155</v>
      </c>
      <c r="O42" s="25" t="n">
        <f aca="false">O18*ContPct</f>
        <v>5306.01904761148</v>
      </c>
      <c r="P42" s="25" t="n">
        <f aca="false">P18*ContPct</f>
        <v>5460.95100902804</v>
      </c>
      <c r="Q42" s="25" t="n">
        <f aca="false">Q18*ContPct</f>
        <v>5620.44595708686</v>
      </c>
      <c r="R42" s="25" t="n">
        <f aca="false">R18*ContPct</f>
        <v>5784.63908194321</v>
      </c>
      <c r="S42" s="25" t="n">
        <f aca="false">S18*ContPct</f>
        <v>5953.66959546812</v>
      </c>
      <c r="T42" s="25" t="n">
        <f aca="false">T18*ContPct</f>
        <v>6127.68085122011</v>
      </c>
      <c r="U42" s="34" t="n">
        <f aca="false">SUM(D42:T42)</f>
        <v>82728.7895121982</v>
      </c>
      <c r="V42" s="1"/>
    </row>
    <row r="43" customFormat="false" ht="15" hidden="false" customHeight="false" outlineLevel="0" collapsed="false">
      <c r="A43" s="1"/>
      <c r="B43" s="9" t="s">
        <v>375</v>
      </c>
      <c r="C43" s="1"/>
      <c r="D43" s="34" t="n">
        <f aca="false">SUM(D21:D42)</f>
        <v>262202.9</v>
      </c>
      <c r="E43" s="34" t="n">
        <f aca="false">SUM(E21:E42)</f>
        <v>271544.01</v>
      </c>
      <c r="F43" s="34" t="n">
        <f aca="false">SUM(F21:F42)</f>
        <v>281481.81423</v>
      </c>
      <c r="G43" s="34" t="n">
        <f aca="false">SUM(G21:G42)</f>
        <v>291814.74513195</v>
      </c>
      <c r="H43" s="34" t="n">
        <f aca="false">SUM(H21:H42)</f>
        <v>287145.413816694</v>
      </c>
      <c r="I43" s="34" t="n">
        <f aca="false">SUM(I21:I42)</f>
        <v>297227.297644819</v>
      </c>
      <c r="J43" s="34" t="n">
        <f aca="false">SUM(J21:J42)</f>
        <v>307681.475077617</v>
      </c>
      <c r="K43" s="34" t="n">
        <f aca="false">SUM(K21:K42)</f>
        <v>318522.79674448</v>
      </c>
      <c r="L43" s="34" t="n">
        <f aca="false">SUM(L21:L42)</f>
        <v>329766.778942464</v>
      </c>
      <c r="M43" s="34" t="n">
        <f aca="false">SUM(M21:M42)</f>
        <v>341429.638343632</v>
      </c>
      <c r="N43" s="34" t="n">
        <f aca="false">SUM(N21:N42)</f>
        <v>353528.328811915</v>
      </c>
      <c r="O43" s="34" t="n">
        <f aca="false">SUM(O21:O42)</f>
        <v>352094.006528293</v>
      </c>
      <c r="P43" s="34" t="n">
        <f aca="false">SUM(P21:P42)</f>
        <v>364111.68125669</v>
      </c>
      <c r="Q43" s="34" t="n">
        <f aca="false">SUM(Q21:Q42)</f>
        <v>376547.05879124</v>
      </c>
      <c r="R43" s="34" t="n">
        <f aca="false">SUM(R21:R42)</f>
        <v>389414.884094819</v>
      </c>
      <c r="S43" s="34" t="n">
        <f aca="false">SUM(S21:S42)</f>
        <v>402730.429733157</v>
      </c>
      <c r="T43" s="34" t="n">
        <f aca="false">SUM(T21:T42)</f>
        <v>416509.514982631</v>
      </c>
      <c r="U43" s="34" t="n">
        <f aca="false">SUM(D43:T43)</f>
        <v>5643752.7741304</v>
      </c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9" t="s">
        <v>376</v>
      </c>
      <c r="C45" s="1"/>
      <c r="D45" s="34" t="n">
        <f aca="false">D18-D43</f>
        <v>107967.1</v>
      </c>
      <c r="E45" s="34" t="n">
        <f aca="false">E18-E43</f>
        <v>115389.39</v>
      </c>
      <c r="F45" s="34" t="n">
        <f aca="false">F18-F43</f>
        <v>116711.05377</v>
      </c>
      <c r="G45" s="34" t="n">
        <f aca="false">G18-G43</f>
        <v>117968.40422805</v>
      </c>
      <c r="H45" s="34" t="n">
        <f aca="false">H18-H43</f>
        <v>142337.758080092</v>
      </c>
      <c r="I45" s="34" t="n">
        <f aca="false">I18-I43</f>
        <v>144770.502339799</v>
      </c>
      <c r="J45" s="34" t="n">
        <f aca="false">J18-J43</f>
        <v>147198.994496086</v>
      </c>
      <c r="K45" s="34" t="n">
        <f aca="false">K18-K43</f>
        <v>149619.277217772</v>
      </c>
      <c r="L45" s="34" t="n">
        <f aca="false">L18-L43</f>
        <v>152027.051346019</v>
      </c>
      <c r="M45" s="34" t="n">
        <f aca="false">M18-M43</f>
        <v>154417.650843018</v>
      </c>
      <c r="N45" s="34" t="n">
        <f aca="false">N18-N43</f>
        <v>156786.015919635</v>
      </c>
      <c r="O45" s="34" t="n">
        <f aca="false">O18-O43</f>
        <v>178507.898232855</v>
      </c>
      <c r="P45" s="34" t="n">
        <f aca="false">P18-P43</f>
        <v>181983.419646114</v>
      </c>
      <c r="Q45" s="34" t="n">
        <f aca="false">Q18-Q43</f>
        <v>185497.536917446</v>
      </c>
      <c r="R45" s="34" t="n">
        <f aca="false">R18-R43</f>
        <v>189049.024099501</v>
      </c>
      <c r="S45" s="34" t="n">
        <f aca="false">S18-S43</f>
        <v>192636.529813654</v>
      </c>
      <c r="T45" s="34" t="n">
        <f aca="false">T18-T43</f>
        <v>196258.570139379</v>
      </c>
      <c r="U45" s="34" t="n">
        <f aca="false">SUM(D45:T45)</f>
        <v>2629126.17708942</v>
      </c>
      <c r="V45" s="1"/>
    </row>
    <row r="46" customFormat="false" ht="15" hidden="false" customHeight="false" outlineLevel="0" collapsed="false">
      <c r="A46" s="1"/>
      <c r="B46" s="6" t="s">
        <v>377</v>
      </c>
      <c r="C46" s="1"/>
      <c r="D46" s="38" t="n">
        <f aca="false">IF(D18=0,0,D45/D18)</f>
        <v>0.291668962908934</v>
      </c>
      <c r="E46" s="38" t="n">
        <f aca="false">IF(E18=0,0,E45/E18)</f>
        <v>0.298215119191055</v>
      </c>
      <c r="F46" s="38" t="n">
        <f aca="false">IF(F18=0,0,F45/F18)</f>
        <v>0.29310181861419</v>
      </c>
      <c r="G46" s="38" t="n">
        <f aca="false">IF(G18=0,0,G45/G18)</f>
        <v>0.287880076114143</v>
      </c>
      <c r="H46" s="38" t="n">
        <f aca="false">IF(H18=0,0,H45/H18)</f>
        <v>0.331416379951434</v>
      </c>
      <c r="I46" s="38" t="n">
        <f aca="false">IF(I18=0,0,I45/I18)</f>
        <v>0.327536703451549</v>
      </c>
      <c r="J46" s="38" t="n">
        <f aca="false">IF(J18=0,0,J45/J18)</f>
        <v>0.32359928451981</v>
      </c>
      <c r="K46" s="38" t="n">
        <f aca="false">IF(K18=0,0,K45/K18)</f>
        <v>0.319602286441436</v>
      </c>
      <c r="L46" s="38" t="n">
        <f aca="false">IF(L18=0,0,L45/L18)</f>
        <v>0.315543790286792</v>
      </c>
      <c r="M46" s="38" t="n">
        <f aca="false">IF(M18=0,0,M45/M18)</f>
        <v>0.311421790963731</v>
      </c>
      <c r="N46" s="38" t="n">
        <f aca="false">IF(N18=0,0,N45/N18)</f>
        <v>0.307234193077821</v>
      </c>
      <c r="O46" s="38" t="n">
        <f aca="false">IF(O18=0,0,O45/O18)</f>
        <v>0.336425287265432</v>
      </c>
      <c r="P46" s="38" t="n">
        <f aca="false">IF(P18=0,0,P45/P18)</f>
        <v>0.333244922624757</v>
      </c>
      <c r="Q46" s="38" t="n">
        <f aca="false">IF(Q18=0,0,Q45/Q18)</f>
        <v>0.330040602353895</v>
      </c>
      <c r="R46" s="38" t="n">
        <f aca="false">IF(R18=0,0,R45/R18)</f>
        <v>0.326812133689756</v>
      </c>
      <c r="S46" s="38" t="n">
        <f aca="false">IF(S18=0,0,S45/S18)</f>
        <v>0.323559322069682</v>
      </c>
      <c r="T46" s="38" t="n">
        <f aca="false">IF(T18=0,0,T45/T18)</f>
        <v>0.320281971115224</v>
      </c>
      <c r="U46" s="1"/>
      <c r="V46" s="1"/>
    </row>
    <row r="47" customFormat="false" ht="15" hidden="false" customHeight="false" outlineLevel="0" collapsed="false">
      <c r="A47" s="1"/>
      <c r="B47" s="6" t="s">
        <v>378</v>
      </c>
      <c r="C47" s="1"/>
      <c r="D47" s="35" t="n">
        <f aca="false">IF(D$5&lt;HandoffYear,OwnerHours,OwnerHoursLater)</f>
        <v>40</v>
      </c>
      <c r="E47" s="35" t="n">
        <f aca="false">IF(E$5&lt;HandoffYear,OwnerHours,OwnerHoursLater)</f>
        <v>40</v>
      </c>
      <c r="F47" s="35" t="n">
        <f aca="false">IF(F$5&lt;HandoffYear,OwnerHours,OwnerHoursLater)</f>
        <v>40</v>
      </c>
      <c r="G47" s="35" t="n">
        <f aca="false">IF(G$5&lt;HandoffYear,OwnerHours,OwnerHoursLater)</f>
        <v>40</v>
      </c>
      <c r="H47" s="35" t="n">
        <f aca="false">IF(H$5&lt;HandoffYear,OwnerHours,OwnerHoursLater)</f>
        <v>40</v>
      </c>
      <c r="I47" s="35" t="n">
        <f aca="false">IF(I$5&lt;HandoffYear,OwnerHours,OwnerHoursLater)</f>
        <v>40</v>
      </c>
      <c r="J47" s="35" t="n">
        <f aca="false">IF(J$5&lt;HandoffYear,OwnerHours,OwnerHoursLater)</f>
        <v>40</v>
      </c>
      <c r="K47" s="35" t="n">
        <f aca="false">IF(K$5&lt;HandoffYear,OwnerHours,OwnerHoursLater)</f>
        <v>40</v>
      </c>
      <c r="L47" s="35" t="n">
        <f aca="false">IF(L$5&lt;HandoffYear,OwnerHours,OwnerHoursLater)</f>
        <v>40</v>
      </c>
      <c r="M47" s="35" t="n">
        <f aca="false">IF(M$5&lt;HandoffYear,OwnerHours,OwnerHoursLater)</f>
        <v>40</v>
      </c>
      <c r="N47" s="35" t="n">
        <f aca="false">IF(N$5&lt;HandoffYear,OwnerHours,OwnerHoursLater)</f>
        <v>40</v>
      </c>
      <c r="O47" s="35" t="n">
        <f aca="false">IF(O$5&lt;HandoffYear,OwnerHours,OwnerHoursLater)</f>
        <v>40</v>
      </c>
      <c r="P47" s="35" t="n">
        <f aca="false">IF(P$5&lt;HandoffYear,OwnerHours,OwnerHoursLater)</f>
        <v>40</v>
      </c>
      <c r="Q47" s="35" t="n">
        <f aca="false">IF(Q$5&lt;HandoffYear,OwnerHours,OwnerHoursLater)</f>
        <v>40</v>
      </c>
      <c r="R47" s="35" t="n">
        <f aca="false">IF(R$5&lt;HandoffYear,OwnerHours,OwnerHoursLater)</f>
        <v>40</v>
      </c>
      <c r="S47" s="35" t="n">
        <f aca="false">IF(S$5&lt;HandoffYear,OwnerHours,OwnerHoursLater)</f>
        <v>40</v>
      </c>
      <c r="T47" s="35" t="n">
        <f aca="false">IF(T$5&lt;HandoffYear,OwnerHours,OwnerHoursLater)</f>
        <v>40</v>
      </c>
      <c r="U47" s="1"/>
      <c r="V47" s="1"/>
    </row>
    <row r="48" customFormat="false" ht="15" hidden="false" customHeight="false" outlineLevel="0" collapsed="false">
      <c r="A48" s="1"/>
      <c r="B48" s="6" t="s">
        <v>379</v>
      </c>
      <c r="C48" s="1"/>
      <c r="D48" s="25" t="n">
        <f aca="false">MIN(D47,PaidHours)*52*Wage*(1+WageGrowth)^D$8*(1+Burden)</f>
        <v>42224</v>
      </c>
      <c r="E48" s="25" t="n">
        <f aca="false">MIN(E47,PaidHours)*52*Wage*(1+WageGrowth)^E$8*(1+Burden)</f>
        <v>43701.84</v>
      </c>
      <c r="F48" s="25" t="n">
        <f aca="false">MIN(F47,PaidHours)*52*Wage*(1+WageGrowth)^F$8*(1+Burden)</f>
        <v>45231.4044</v>
      </c>
      <c r="G48" s="25" t="n">
        <f aca="false">MIN(G47,PaidHours)*52*Wage*(1+WageGrowth)^G$8*(1+Burden)</f>
        <v>46814.503554</v>
      </c>
      <c r="H48" s="25" t="n">
        <f aca="false">MIN(H47,PaidHours)*52*Wage*(1+WageGrowth)^H$8*(1+Burden)</f>
        <v>48453.01117839</v>
      </c>
      <c r="I48" s="25" t="n">
        <f aca="false">MIN(I47,PaidHours)*52*Wage*(1+WageGrowth)^I$8*(1+Burden)</f>
        <v>50148.8665696336</v>
      </c>
      <c r="J48" s="25" t="n">
        <f aca="false">MIN(J47,PaidHours)*52*Wage*(1+WageGrowth)^J$8*(1+Burden)</f>
        <v>51904.0768995708</v>
      </c>
      <c r="K48" s="25" t="n">
        <f aca="false">MIN(K47,PaidHours)*52*Wage*(1+WageGrowth)^K$8*(1+Burden)</f>
        <v>53720.7195910558</v>
      </c>
      <c r="L48" s="25" t="n">
        <f aca="false">MIN(L47,PaidHours)*52*Wage*(1+WageGrowth)^L$8*(1+Burden)</f>
        <v>55600.9447767427</v>
      </c>
      <c r="M48" s="25" t="n">
        <f aca="false">MIN(M47,PaidHours)*52*Wage*(1+WageGrowth)^M$8*(1+Burden)</f>
        <v>57546.9778439287</v>
      </c>
      <c r="N48" s="25" t="n">
        <f aca="false">MIN(N47,PaidHours)*52*Wage*(1+WageGrowth)^N$8*(1+Burden)</f>
        <v>59561.1220684662</v>
      </c>
      <c r="O48" s="25" t="n">
        <f aca="false">MIN(O47,PaidHours)*52*Wage*(1+WageGrowth)^O$8*(1+Burden)</f>
        <v>61645.7613408625</v>
      </c>
      <c r="P48" s="25" t="n">
        <f aca="false">MIN(P47,PaidHours)*52*Wage*(1+WageGrowth)^P$8*(1+Burden)</f>
        <v>63803.3629877927</v>
      </c>
      <c r="Q48" s="25" t="n">
        <f aca="false">MIN(Q47,PaidHours)*52*Wage*(1+WageGrowth)^Q$8*(1+Burden)</f>
        <v>66036.4806923655</v>
      </c>
      <c r="R48" s="25" t="n">
        <f aca="false">MIN(R47,PaidHours)*52*Wage*(1+WageGrowth)^R$8*(1+Burden)</f>
        <v>68347.7575165982</v>
      </c>
      <c r="S48" s="25" t="n">
        <f aca="false">MIN(S47,PaidHours)*52*Wage*(1+WageGrowth)^S$8*(1+Burden)</f>
        <v>70739.9290296792</v>
      </c>
      <c r="T48" s="25" t="n">
        <f aca="false">MIN(T47,PaidHours)*52*Wage*(1+WageGrowth)^T$8*(1+Burden)</f>
        <v>73215.8265457179</v>
      </c>
      <c r="U48" s="34" t="n">
        <f aca="false">SUM(D48:T48)</f>
        <v>958696.584994804</v>
      </c>
      <c r="V48" s="1"/>
    </row>
    <row r="49" customFormat="false" ht="15" hidden="false" customHeight="false" outlineLevel="0" collapsed="false">
      <c r="A49" s="1"/>
      <c r="B49" s="9" t="s">
        <v>380</v>
      </c>
      <c r="C49" s="1"/>
      <c r="D49" s="34" t="n">
        <f aca="false">D45+D48</f>
        <v>150191.1</v>
      </c>
      <c r="E49" s="34" t="n">
        <f aca="false">E45+E48</f>
        <v>159091.23</v>
      </c>
      <c r="F49" s="34" t="n">
        <f aca="false">F45+F48</f>
        <v>161942.45817</v>
      </c>
      <c r="G49" s="34" t="n">
        <f aca="false">G45+G48</f>
        <v>164782.90778205</v>
      </c>
      <c r="H49" s="34" t="n">
        <f aca="false">H45+H48</f>
        <v>190790.769258482</v>
      </c>
      <c r="I49" s="34" t="n">
        <f aca="false">I45+I48</f>
        <v>194919.368909432</v>
      </c>
      <c r="J49" s="34" t="n">
        <f aca="false">J45+J48</f>
        <v>199103.071395656</v>
      </c>
      <c r="K49" s="34" t="n">
        <f aca="false">K45+K48</f>
        <v>203339.996808827</v>
      </c>
      <c r="L49" s="34" t="n">
        <f aca="false">L45+L48</f>
        <v>207627.996122762</v>
      </c>
      <c r="M49" s="34" t="n">
        <f aca="false">M45+M48</f>
        <v>211964.628686946</v>
      </c>
      <c r="N49" s="34" t="n">
        <f aca="false">N45+N48</f>
        <v>216347.137988101</v>
      </c>
      <c r="O49" s="34" t="n">
        <f aca="false">O45+O48</f>
        <v>240153.659573717</v>
      </c>
      <c r="P49" s="34" t="n">
        <f aca="false">P45+P48</f>
        <v>245786.782633907</v>
      </c>
      <c r="Q49" s="34" t="n">
        <f aca="false">Q45+Q48</f>
        <v>251534.017609812</v>
      </c>
      <c r="R49" s="34" t="n">
        <f aca="false">R45+R48</f>
        <v>257396.781616099</v>
      </c>
      <c r="S49" s="34" t="n">
        <f aca="false">S45+S48</f>
        <v>263376.458843333</v>
      </c>
      <c r="T49" s="34" t="n">
        <f aca="false">T45+T48</f>
        <v>269474.396685097</v>
      </c>
      <c r="U49" s="34" t="n">
        <f aca="false">SUM(D49:T49)</f>
        <v>3587822.76208422</v>
      </c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4" t="s">
        <v>381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customFormat="false" ht="15" hidden="false" customHeight="false" outlineLevel="0" collapsed="false">
      <c r="A52" s="1"/>
      <c r="B52" s="6" t="s">
        <v>382</v>
      </c>
      <c r="C52" s="25" t="n">
        <f aca="false">-TotalInvest</f>
        <v>-480000</v>
      </c>
      <c r="D52" s="25" t="n">
        <f aca="false">0</f>
        <v>0</v>
      </c>
      <c r="E52" s="25" t="n">
        <f aca="false">0</f>
        <v>0</v>
      </c>
      <c r="F52" s="25" t="n">
        <f aca="false">0</f>
        <v>0</v>
      </c>
      <c r="G52" s="25" t="n">
        <f aca="false">0</f>
        <v>0</v>
      </c>
      <c r="H52" s="25" t="n">
        <f aca="false">0</f>
        <v>0</v>
      </c>
      <c r="I52" s="25" t="n">
        <f aca="false">0</f>
        <v>0</v>
      </c>
      <c r="J52" s="25" t="n">
        <f aca="false">0</f>
        <v>0</v>
      </c>
      <c r="K52" s="25" t="n">
        <f aca="false">0</f>
        <v>0</v>
      </c>
      <c r="L52" s="25" t="n">
        <f aca="false">0</f>
        <v>0</v>
      </c>
      <c r="M52" s="25" t="n">
        <f aca="false">0</f>
        <v>0</v>
      </c>
      <c r="N52" s="25" t="n">
        <f aca="false">0</f>
        <v>0</v>
      </c>
      <c r="O52" s="25" t="n">
        <f aca="false">0</f>
        <v>0</v>
      </c>
      <c r="P52" s="25" t="n">
        <f aca="false">0</f>
        <v>0</v>
      </c>
      <c r="Q52" s="25" t="n">
        <f aca="false">0</f>
        <v>0</v>
      </c>
      <c r="R52" s="25" t="n">
        <f aca="false">0</f>
        <v>0</v>
      </c>
      <c r="S52" s="25" t="n">
        <f aca="false">0</f>
        <v>0</v>
      </c>
      <c r="T52" s="25" t="n">
        <f aca="false">0</f>
        <v>0</v>
      </c>
      <c r="U52" s="34" t="n">
        <f aca="false">SUM(D52:T52)</f>
        <v>0</v>
      </c>
      <c r="V52" s="1"/>
    </row>
    <row r="53" customFormat="false" ht="15" hidden="false" customHeight="false" outlineLevel="0" collapsed="false">
      <c r="A53" s="1"/>
      <c r="B53" s="6" t="s">
        <v>383</v>
      </c>
      <c r="C53" s="25" t="n">
        <f aca="false">-Depreciation!C12</f>
        <v>-0</v>
      </c>
      <c r="D53" s="25" t="n">
        <f aca="false">-Depreciation!D12</f>
        <v>-0</v>
      </c>
      <c r="E53" s="25" t="n">
        <f aca="false">-Depreciation!E12</f>
        <v>-0</v>
      </c>
      <c r="F53" s="25" t="n">
        <f aca="false">-Depreciation!F12</f>
        <v>-0</v>
      </c>
      <c r="G53" s="25" t="n">
        <f aca="false">-Depreciation!G12</f>
        <v>-419252.031725</v>
      </c>
      <c r="H53" s="25" t="n">
        <f aca="false">-Depreciation!H12</f>
        <v>-0</v>
      </c>
      <c r="I53" s="25" t="n">
        <f aca="false">-Depreciation!I12</f>
        <v>-0</v>
      </c>
      <c r="J53" s="25" t="n">
        <f aca="false">-Depreciation!J12</f>
        <v>-0</v>
      </c>
      <c r="K53" s="25" t="n">
        <f aca="false">-Depreciation!K12</f>
        <v>-0</v>
      </c>
      <c r="L53" s="25" t="n">
        <f aca="false">-Depreciation!L12</f>
        <v>-0</v>
      </c>
      <c r="M53" s="25" t="n">
        <f aca="false">-Depreciation!M12</f>
        <v>-0</v>
      </c>
      <c r="N53" s="25" t="n">
        <f aca="false">-Depreciation!N12</f>
        <v>-236703.99189388</v>
      </c>
      <c r="O53" s="25" t="n">
        <f aca="false">-Depreciation!O12</f>
        <v>-0</v>
      </c>
      <c r="P53" s="25" t="n">
        <f aca="false">-Depreciation!P12</f>
        <v>-0</v>
      </c>
      <c r="Q53" s="25" t="n">
        <f aca="false">-Depreciation!Q12</f>
        <v>-0</v>
      </c>
      <c r="R53" s="25" t="n">
        <f aca="false">-Depreciation!R12</f>
        <v>-0</v>
      </c>
      <c r="S53" s="25" t="n">
        <f aca="false">-Depreciation!S12</f>
        <v>-0</v>
      </c>
      <c r="T53" s="25" t="n">
        <f aca="false">-Depreciation!T12</f>
        <v>-0</v>
      </c>
      <c r="U53" s="34" t="n">
        <f aca="false">SUM(D53:T53)</f>
        <v>-655956.02361888</v>
      </c>
      <c r="V53" s="1"/>
    </row>
    <row r="54" customFormat="false" ht="15" hidden="false" customHeight="false" outlineLevel="0" collapsed="false">
      <c r="A54" s="1"/>
      <c r="B54" s="6" t="s">
        <v>384</v>
      </c>
      <c r="C54" s="1"/>
      <c r="D54" s="25" t="n">
        <f aca="false">IF(D$5=17,ExitMult*D45+WorkingCap,0)</f>
        <v>0</v>
      </c>
      <c r="E54" s="25" t="n">
        <f aca="false">IF(E$5=17,ExitMult*E45+WorkingCap,0)</f>
        <v>0</v>
      </c>
      <c r="F54" s="25" t="n">
        <f aca="false">IF(F$5=17,ExitMult*F45+WorkingCap,0)</f>
        <v>0</v>
      </c>
      <c r="G54" s="25" t="n">
        <f aca="false">IF(G$5=17,ExitMult*G45+WorkingCap,0)</f>
        <v>0</v>
      </c>
      <c r="H54" s="25" t="n">
        <f aca="false">IF(H$5=17,ExitMult*H45+WorkingCap,0)</f>
        <v>0</v>
      </c>
      <c r="I54" s="25" t="n">
        <f aca="false">IF(I$5=17,ExitMult*I45+WorkingCap,0)</f>
        <v>0</v>
      </c>
      <c r="J54" s="25" t="n">
        <f aca="false">IF(J$5=17,ExitMult*J45+WorkingCap,0)</f>
        <v>0</v>
      </c>
      <c r="K54" s="25" t="n">
        <f aca="false">IF(K$5=17,ExitMult*K45+WorkingCap,0)</f>
        <v>0</v>
      </c>
      <c r="L54" s="25" t="n">
        <f aca="false">IF(L$5=17,ExitMult*L45+WorkingCap,0)</f>
        <v>0</v>
      </c>
      <c r="M54" s="25" t="n">
        <f aca="false">IF(M$5=17,ExitMult*M45+WorkingCap,0)</f>
        <v>0</v>
      </c>
      <c r="N54" s="25" t="n">
        <f aca="false">IF(N$5=17,ExitMult*N45+WorkingCap,0)</f>
        <v>0</v>
      </c>
      <c r="O54" s="25" t="n">
        <f aca="false">IF(O$5=17,ExitMult*O45+WorkingCap,0)</f>
        <v>0</v>
      </c>
      <c r="P54" s="25" t="n">
        <f aca="false">IF(P$5=17,ExitMult*P45+WorkingCap,0)</f>
        <v>0</v>
      </c>
      <c r="Q54" s="25" t="n">
        <f aca="false">IF(Q$5=17,ExitMult*Q45+WorkingCap,0)</f>
        <v>0</v>
      </c>
      <c r="R54" s="25" t="n">
        <f aca="false">IF(R$5=17,ExitMult*R45+WorkingCap,0)</f>
        <v>0</v>
      </c>
      <c r="S54" s="25" t="n">
        <f aca="false">IF(S$5=17,ExitMult*S45+WorkingCap,0)</f>
        <v>0</v>
      </c>
      <c r="T54" s="25" t="n">
        <f aca="false">IF(T$5=17,ExitMult*T45+WorkingCap,0)</f>
        <v>304387.855209069</v>
      </c>
      <c r="U54" s="34" t="n">
        <f aca="false">SUM(D54:T54)</f>
        <v>304387.855209069</v>
      </c>
      <c r="V54" s="1"/>
    </row>
    <row r="55" customFormat="false" ht="15" hidden="false" customHeight="false" outlineLevel="0" collapsed="false">
      <c r="A55" s="1"/>
      <c r="B55" s="9" t="s">
        <v>385</v>
      </c>
      <c r="C55" s="25" t="n">
        <f aca="false">C52+C53</f>
        <v>-480000</v>
      </c>
      <c r="D55" s="34" t="n">
        <f aca="false">D45+D52+D53+D54</f>
        <v>107967.1</v>
      </c>
      <c r="E55" s="34" t="n">
        <f aca="false">E45+E52+E53+E54</f>
        <v>115389.39</v>
      </c>
      <c r="F55" s="34" t="n">
        <f aca="false">F45+F52+F53+F54</f>
        <v>116711.05377</v>
      </c>
      <c r="G55" s="34" t="n">
        <f aca="false">G45+G52+G53+G54</f>
        <v>-301283.62749695</v>
      </c>
      <c r="H55" s="34" t="n">
        <f aca="false">H45+H52+H53+H54</f>
        <v>142337.758080092</v>
      </c>
      <c r="I55" s="34" t="n">
        <f aca="false">I45+I52+I53+I54</f>
        <v>144770.502339799</v>
      </c>
      <c r="J55" s="34" t="n">
        <f aca="false">J45+J52+J53+J54</f>
        <v>147198.994496086</v>
      </c>
      <c r="K55" s="34" t="n">
        <f aca="false">K45+K52+K53+K54</f>
        <v>149619.277217772</v>
      </c>
      <c r="L55" s="34" t="n">
        <f aca="false">L45+L52+L53+L54</f>
        <v>152027.051346019</v>
      </c>
      <c r="M55" s="34" t="n">
        <f aca="false">M45+M52+M53+M54</f>
        <v>154417.650843018</v>
      </c>
      <c r="N55" s="34" t="n">
        <f aca="false">N45+N52+N53+N54</f>
        <v>-79917.9759742452</v>
      </c>
      <c r="O55" s="34" t="n">
        <f aca="false">O45+O52+O53+O54</f>
        <v>178507.898232855</v>
      </c>
      <c r="P55" s="34" t="n">
        <f aca="false">P45+P52+P53+P54</f>
        <v>181983.419646114</v>
      </c>
      <c r="Q55" s="34" t="n">
        <f aca="false">Q45+Q52+Q53+Q54</f>
        <v>185497.536917446</v>
      </c>
      <c r="R55" s="34" t="n">
        <f aca="false">R45+R52+R53+R54</f>
        <v>189049.024099501</v>
      </c>
      <c r="S55" s="34" t="n">
        <f aca="false">S45+S52+S53+S54</f>
        <v>192636.529813654</v>
      </c>
      <c r="T55" s="34" t="n">
        <f aca="false">T45+T52+T53+T54</f>
        <v>500646.425348448</v>
      </c>
      <c r="U55" s="34" t="n">
        <f aca="false">SUM(D55:T55)</f>
        <v>2277558.00867961</v>
      </c>
      <c r="V55" s="1"/>
    </row>
    <row r="56" customFormat="false" ht="15" hidden="false" customHeight="false" outlineLevel="0" collapsed="false">
      <c r="A56" s="1"/>
      <c r="B56" s="6" t="s">
        <v>386</v>
      </c>
      <c r="C56" s="25" t="n">
        <f aca="false">C55</f>
        <v>-480000</v>
      </c>
      <c r="D56" s="25" t="n">
        <f aca="false">C56+D55</f>
        <v>-372032.9</v>
      </c>
      <c r="E56" s="25" t="n">
        <f aca="false">D56+E55</f>
        <v>-256643.51</v>
      </c>
      <c r="F56" s="25" t="n">
        <f aca="false">E56+F55</f>
        <v>-139932.45623</v>
      </c>
      <c r="G56" s="25" t="n">
        <f aca="false">F56+G55</f>
        <v>-441216.08372695</v>
      </c>
      <c r="H56" s="25" t="n">
        <f aca="false">G56+H55</f>
        <v>-298878.325646858</v>
      </c>
      <c r="I56" s="25" t="n">
        <f aca="false">H56+I55</f>
        <v>-154107.823307059</v>
      </c>
      <c r="J56" s="25" t="n">
        <f aca="false">I56+J55</f>
        <v>-6908.82881097356</v>
      </c>
      <c r="K56" s="25" t="n">
        <f aca="false">J56+K55</f>
        <v>142710.448406798</v>
      </c>
      <c r="L56" s="25" t="n">
        <f aca="false">K56+L55</f>
        <v>294737.499752817</v>
      </c>
      <c r="M56" s="25" t="n">
        <f aca="false">L56+M55</f>
        <v>449155.150595835</v>
      </c>
      <c r="N56" s="25" t="n">
        <f aca="false">M56+N55</f>
        <v>369237.17462159</v>
      </c>
      <c r="O56" s="25" t="n">
        <f aca="false">N56+O55</f>
        <v>547745.072854444</v>
      </c>
      <c r="P56" s="25" t="n">
        <f aca="false">O56+P55</f>
        <v>729728.492500558</v>
      </c>
      <c r="Q56" s="25" t="n">
        <f aca="false">P56+Q55</f>
        <v>915226.029418004</v>
      </c>
      <c r="R56" s="25" t="n">
        <f aca="false">Q56+R55</f>
        <v>1104275.05351751</v>
      </c>
      <c r="S56" s="25" t="n">
        <f aca="false">R56+S55</f>
        <v>1296911.58333116</v>
      </c>
      <c r="T56" s="25" t="n">
        <f aca="false">S56+T55</f>
        <v>1797558.00867961</v>
      </c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9" t="s">
        <v>387</v>
      </c>
      <c r="C58" s="38" t="n">
        <f aca="false">IRR(C55:T55)</f>
        <v>0.17525464874132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9" t="s">
        <v>388</v>
      </c>
      <c r="C59" s="38" t="n">
        <f aca="false">(D45+D53)/(TotalInvest-C53)</f>
        <v>0.224931458333333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9" t="s">
        <v>389</v>
      </c>
      <c r="C60" s="25" t="n">
        <f aca="false">-SUM(C53:T53)/17</f>
        <v>38585.6484481694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20" min="3" style="0" width="11"/>
    <col collapsed="false" customWidth="true" hidden="false" outlineLevel="0" max="21" min="21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7.35" hidden="false" customHeight="false" outlineLevel="0" collapsed="false">
      <c r="A2" s="1"/>
      <c r="B2" s="2" t="s">
        <v>390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3" t="s">
        <v>391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5" hidden="false" customHeight="false" outlineLevel="0" collapsed="false">
      <c r="A5" s="1"/>
      <c r="B5" s="9" t="s">
        <v>336</v>
      </c>
      <c r="C5" s="39" t="n">
        <v>0</v>
      </c>
      <c r="D5" s="39" t="n">
        <v>1</v>
      </c>
      <c r="E5" s="39" t="n">
        <v>2</v>
      </c>
      <c r="F5" s="39" t="n">
        <v>3</v>
      </c>
      <c r="G5" s="39" t="n">
        <v>4</v>
      </c>
      <c r="H5" s="39" t="n">
        <v>5</v>
      </c>
      <c r="I5" s="39" t="n">
        <v>6</v>
      </c>
      <c r="J5" s="39" t="n">
        <v>7</v>
      </c>
      <c r="K5" s="39" t="n">
        <v>8</v>
      </c>
      <c r="L5" s="39" t="n">
        <v>9</v>
      </c>
      <c r="M5" s="39" t="n">
        <v>10</v>
      </c>
      <c r="N5" s="39" t="n">
        <v>11</v>
      </c>
      <c r="O5" s="39" t="n">
        <v>12</v>
      </c>
      <c r="P5" s="39" t="n">
        <v>13</v>
      </c>
      <c r="Q5" s="39" t="n">
        <v>14</v>
      </c>
      <c r="R5" s="39" t="n">
        <v>15</v>
      </c>
      <c r="S5" s="39" t="n">
        <v>16</v>
      </c>
      <c r="T5" s="39" t="n">
        <v>17</v>
      </c>
      <c r="U5" s="9" t="s">
        <v>337</v>
      </c>
      <c r="V5" s="1"/>
    </row>
    <row r="6" customFormat="false" ht="15" hidden="false" customHeight="false" outlineLevel="0" collapsed="false">
      <c r="A6" s="1"/>
      <c r="B6" s="4" t="s">
        <v>392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Format="false" ht="15" hidden="false" customHeight="false" outlineLevel="0" collapsed="false">
      <c r="A7" s="1"/>
      <c r="B7" s="6" t="s">
        <v>393</v>
      </c>
      <c r="C7" s="1"/>
      <c r="D7" s="7" t="n">
        <f aca="false">Projection!D45</f>
        <v>107967.1</v>
      </c>
      <c r="E7" s="7" t="n">
        <f aca="false">Projection!E45</f>
        <v>115389.39</v>
      </c>
      <c r="F7" s="7" t="n">
        <f aca="false">Projection!F45</f>
        <v>116711.05377</v>
      </c>
      <c r="G7" s="7" t="n">
        <f aca="false">Projection!G45</f>
        <v>117968.40422805</v>
      </c>
      <c r="H7" s="7" t="n">
        <f aca="false">Projection!H45</f>
        <v>142337.758080092</v>
      </c>
      <c r="I7" s="7" t="n">
        <f aca="false">Projection!I45</f>
        <v>144770.502339799</v>
      </c>
      <c r="J7" s="7" t="n">
        <f aca="false">Projection!J45</f>
        <v>147198.994496086</v>
      </c>
      <c r="K7" s="7" t="n">
        <f aca="false">Projection!K45</f>
        <v>149619.277217772</v>
      </c>
      <c r="L7" s="7" t="n">
        <f aca="false">Projection!L45</f>
        <v>152027.051346019</v>
      </c>
      <c r="M7" s="7" t="n">
        <f aca="false">Projection!M45</f>
        <v>154417.650843018</v>
      </c>
      <c r="N7" s="7" t="n">
        <f aca="false">Projection!N45</f>
        <v>156786.015919635</v>
      </c>
      <c r="O7" s="7" t="n">
        <f aca="false">Projection!O45</f>
        <v>178507.898232855</v>
      </c>
      <c r="P7" s="7" t="n">
        <f aca="false">Projection!P45</f>
        <v>181983.419646114</v>
      </c>
      <c r="Q7" s="7" t="n">
        <f aca="false">Projection!Q45</f>
        <v>185497.536917446</v>
      </c>
      <c r="R7" s="7" t="n">
        <f aca="false">Projection!R45</f>
        <v>189049.024099501</v>
      </c>
      <c r="S7" s="7" t="n">
        <f aca="false">Projection!S45</f>
        <v>192636.529813654</v>
      </c>
      <c r="T7" s="7" t="n">
        <f aca="false">Projection!T45</f>
        <v>196258.570139379</v>
      </c>
      <c r="U7" s="34" t="n">
        <f aca="false">SUM(D7:T7)</f>
        <v>2629126.17708942</v>
      </c>
      <c r="V7" s="1"/>
    </row>
    <row r="8" customFormat="false" ht="15" hidden="false" customHeight="false" outlineLevel="0" collapsed="false">
      <c r="A8" s="1"/>
      <c r="B8" s="6" t="s">
        <v>394</v>
      </c>
      <c r="C8" s="1"/>
      <c r="D8" s="7" t="n">
        <f aca="false">Projection!D48</f>
        <v>42224</v>
      </c>
      <c r="E8" s="7" t="n">
        <f aca="false">Projection!E48</f>
        <v>43701.84</v>
      </c>
      <c r="F8" s="7" t="n">
        <f aca="false">Projection!F48</f>
        <v>45231.4044</v>
      </c>
      <c r="G8" s="7" t="n">
        <f aca="false">Projection!G48</f>
        <v>46814.503554</v>
      </c>
      <c r="H8" s="7" t="n">
        <f aca="false">Projection!H48</f>
        <v>48453.01117839</v>
      </c>
      <c r="I8" s="7" t="n">
        <f aca="false">Projection!I48</f>
        <v>50148.8665696336</v>
      </c>
      <c r="J8" s="7" t="n">
        <f aca="false">Projection!J48</f>
        <v>51904.0768995708</v>
      </c>
      <c r="K8" s="7" t="n">
        <f aca="false">Projection!K48</f>
        <v>53720.7195910558</v>
      </c>
      <c r="L8" s="7" t="n">
        <f aca="false">Projection!L48</f>
        <v>55600.9447767427</v>
      </c>
      <c r="M8" s="7" t="n">
        <f aca="false">Projection!M48</f>
        <v>57546.9778439287</v>
      </c>
      <c r="N8" s="7" t="n">
        <f aca="false">Projection!N48</f>
        <v>59561.1220684662</v>
      </c>
      <c r="O8" s="7" t="n">
        <f aca="false">Projection!O48</f>
        <v>61645.7613408625</v>
      </c>
      <c r="P8" s="7" t="n">
        <f aca="false">Projection!P48</f>
        <v>63803.3629877927</v>
      </c>
      <c r="Q8" s="7" t="n">
        <f aca="false">Projection!Q48</f>
        <v>66036.4806923655</v>
      </c>
      <c r="R8" s="7" t="n">
        <f aca="false">Projection!R48</f>
        <v>68347.7575165982</v>
      </c>
      <c r="S8" s="7" t="n">
        <f aca="false">Projection!S48</f>
        <v>70739.9290296792</v>
      </c>
      <c r="T8" s="7" t="n">
        <f aca="false">Projection!T48</f>
        <v>73215.8265457179</v>
      </c>
      <c r="U8" s="34" t="n">
        <f aca="false">SUM(D8:T8)</f>
        <v>958696.584994804</v>
      </c>
      <c r="V8" s="1"/>
    </row>
    <row r="9" customFormat="false" ht="15" hidden="false" customHeight="false" outlineLevel="0" collapsed="false">
      <c r="A9" s="1"/>
      <c r="B9" s="6" t="s">
        <v>395</v>
      </c>
      <c r="C9" s="1"/>
      <c r="D9" s="7" t="n">
        <f aca="false">Projection!D22</f>
        <v>82810</v>
      </c>
      <c r="E9" s="7" t="n">
        <f aca="false">Projection!E22</f>
        <v>85708.35</v>
      </c>
      <c r="F9" s="7" t="n">
        <f aca="false">Projection!F22</f>
        <v>88708.14225</v>
      </c>
      <c r="G9" s="7" t="n">
        <f aca="false">Projection!G22</f>
        <v>91812.92722875</v>
      </c>
      <c r="H9" s="7" t="n">
        <f aca="false">Projection!H22</f>
        <v>95026.3796817562</v>
      </c>
      <c r="I9" s="7" t="n">
        <f aca="false">Projection!I22</f>
        <v>98352.3029706177</v>
      </c>
      <c r="J9" s="7" t="n">
        <f aca="false">Projection!J22</f>
        <v>101794.633574589</v>
      </c>
      <c r="K9" s="7" t="n">
        <f aca="false">Projection!K22</f>
        <v>105357.4457497</v>
      </c>
      <c r="L9" s="7" t="n">
        <f aca="false">Projection!L22</f>
        <v>109044.956350939</v>
      </c>
      <c r="M9" s="7" t="n">
        <f aca="false">Projection!M22</f>
        <v>112861.529823222</v>
      </c>
      <c r="N9" s="7" t="n">
        <f aca="false">Projection!N22</f>
        <v>116811.683367035</v>
      </c>
      <c r="O9" s="7" t="n">
        <f aca="false">Projection!O22</f>
        <v>120900.092284881</v>
      </c>
      <c r="P9" s="7" t="n">
        <f aca="false">Projection!P22</f>
        <v>125131.595514852</v>
      </c>
      <c r="Q9" s="7" t="n">
        <f aca="false">Projection!Q22</f>
        <v>129511.201357872</v>
      </c>
      <c r="R9" s="7" t="n">
        <f aca="false">Projection!R22</f>
        <v>134044.093405397</v>
      </c>
      <c r="S9" s="7" t="n">
        <f aca="false">Projection!S22</f>
        <v>138735.636674586</v>
      </c>
      <c r="T9" s="7" t="n">
        <f aca="false">Projection!T22</f>
        <v>143591.383958197</v>
      </c>
      <c r="U9" s="34" t="n">
        <f aca="false">SUM(D9:T9)</f>
        <v>1880202.3541924</v>
      </c>
      <c r="V9" s="1"/>
    </row>
    <row r="10" customFormat="false" ht="15" hidden="false" customHeight="false" outlineLevel="0" collapsed="false">
      <c r="A10" s="1"/>
      <c r="B10" s="6" t="s">
        <v>396</v>
      </c>
      <c r="C10" s="1"/>
      <c r="D10" s="7" t="n">
        <f aca="false">Depreciation!D69</f>
        <v>110666.666666667</v>
      </c>
      <c r="E10" s="7" t="n">
        <f aca="false">Depreciation!E69</f>
        <v>25666.6666666667</v>
      </c>
      <c r="F10" s="7" t="n">
        <f aca="false">Depreciation!F69</f>
        <v>25666.6666666667</v>
      </c>
      <c r="G10" s="7" t="n">
        <f aca="false">Depreciation!G69</f>
        <v>444918.698391667</v>
      </c>
      <c r="H10" s="7" t="n">
        <f aca="false">Depreciation!H69</f>
        <v>25666.6666666667</v>
      </c>
      <c r="I10" s="7" t="n">
        <f aca="false">Depreciation!I69</f>
        <v>25666.6666666667</v>
      </c>
      <c r="J10" s="7" t="n">
        <f aca="false">Depreciation!J69</f>
        <v>25666.6666666667</v>
      </c>
      <c r="K10" s="7" t="n">
        <f aca="false">Depreciation!K69</f>
        <v>25666.6666666667</v>
      </c>
      <c r="L10" s="7" t="n">
        <f aca="false">Depreciation!L69</f>
        <v>25666.6666666667</v>
      </c>
      <c r="M10" s="7" t="n">
        <f aca="false">Depreciation!M69</f>
        <v>25666.6666666667</v>
      </c>
      <c r="N10" s="7" t="n">
        <f aca="false">Depreciation!N69</f>
        <v>262370.658560547</v>
      </c>
      <c r="O10" s="7" t="n">
        <f aca="false">Depreciation!O69</f>
        <v>25666.6666666667</v>
      </c>
      <c r="P10" s="7" t="n">
        <f aca="false">Depreciation!P69</f>
        <v>25666.6666666667</v>
      </c>
      <c r="Q10" s="7" t="n">
        <f aca="false">Depreciation!Q69</f>
        <v>25666.6666666667</v>
      </c>
      <c r="R10" s="7" t="n">
        <f aca="false">Depreciation!R69</f>
        <v>25666.6666666667</v>
      </c>
      <c r="S10" s="7" t="n">
        <f aca="false">Depreciation!S69</f>
        <v>0</v>
      </c>
      <c r="T10" s="7" t="n">
        <f aca="false">Depreciation!T69</f>
        <v>0</v>
      </c>
      <c r="U10" s="34" t="n">
        <f aca="false">SUM(D10:T10)</f>
        <v>1125956.02361888</v>
      </c>
      <c r="V10" s="1"/>
    </row>
    <row r="11" customFormat="false" ht="15" hidden="false" customHeight="false" outlineLevel="0" collapsed="false">
      <c r="A11" s="1"/>
      <c r="B11" s="6" t="s">
        <v>397</v>
      </c>
      <c r="C11" s="1"/>
      <c r="D11" s="7" t="n">
        <f aca="false">Depreciation!D70</f>
        <v>58500</v>
      </c>
      <c r="E11" s="7" t="n">
        <f aca="false">Depreciation!E70</f>
        <v>38533.3333333333</v>
      </c>
      <c r="F11" s="7" t="n">
        <f aca="false">Depreciation!F70</f>
        <v>34053.3333333333</v>
      </c>
      <c r="G11" s="7" t="n">
        <f aca="false">Depreciation!G70</f>
        <v>135215.739678333</v>
      </c>
      <c r="H11" s="7" t="n">
        <f aca="false">Depreciation!H70</f>
        <v>157525.983485333</v>
      </c>
      <c r="I11" s="7" t="n">
        <f aca="false">Depreciation!I70</f>
        <v>105045.723424533</v>
      </c>
      <c r="J11" s="7" t="n">
        <f aca="false">Depreciation!J70</f>
        <v>72751.1673880533</v>
      </c>
      <c r="K11" s="7" t="n">
        <f aca="false">Depreciation!K70</f>
        <v>72751.1673880533</v>
      </c>
      <c r="L11" s="7" t="n">
        <f aca="false">Depreciation!L70</f>
        <v>50042.2503606933</v>
      </c>
      <c r="M11" s="7" t="n">
        <f aca="false">Depreciation!M70</f>
        <v>27333.3333333333</v>
      </c>
      <c r="N11" s="7" t="n">
        <f aca="false">Depreciation!N70</f>
        <v>94674.1317121094</v>
      </c>
      <c r="O11" s="7" t="n">
        <f aca="false">Depreciation!O70</f>
        <v>95078.610739375</v>
      </c>
      <c r="P11" s="7" t="n">
        <f aca="false">Depreciation!P70</f>
        <v>67980.4997769583</v>
      </c>
      <c r="Q11" s="7" t="n">
        <f aca="false">Depreciation!Q70</f>
        <v>51721.6331995083</v>
      </c>
      <c r="R11" s="7" t="n">
        <f aca="false">Depreciation!R70</f>
        <v>51721.6331995083</v>
      </c>
      <c r="S11" s="7" t="n">
        <f aca="false">Depreciation!S70</f>
        <v>13027.4832664208</v>
      </c>
      <c r="T11" s="7" t="n">
        <f aca="false">Depreciation!T70</f>
        <v>0</v>
      </c>
      <c r="U11" s="34" t="n">
        <f aca="false">SUM(D11:T11)</f>
        <v>1125956.02361888</v>
      </c>
      <c r="V11" s="1"/>
    </row>
    <row r="12" customFormat="false" ht="15" hidden="false" customHeight="false" outlineLevel="0" collapsed="false">
      <c r="A12" s="1"/>
      <c r="B12" s="6" t="s">
        <v>398</v>
      </c>
      <c r="C12" s="1"/>
      <c r="D12" s="7" t="n">
        <f aca="false">Depreciation!D71</f>
        <v>85000</v>
      </c>
      <c r="E12" s="7" t="n">
        <f aca="false">Depreciation!E71</f>
        <v>85000</v>
      </c>
      <c r="F12" s="7" t="n">
        <f aca="false">Depreciation!F71</f>
        <v>85000</v>
      </c>
      <c r="G12" s="7" t="n">
        <f aca="false">Depreciation!G71</f>
        <v>504252.031725</v>
      </c>
      <c r="H12" s="7" t="n">
        <f aca="false">Depreciation!H71</f>
        <v>504252.031725</v>
      </c>
      <c r="I12" s="7" t="n">
        <f aca="false">Depreciation!I71</f>
        <v>504252.031725</v>
      </c>
      <c r="J12" s="7" t="n">
        <f aca="false">Depreciation!J71</f>
        <v>504252.031725</v>
      </c>
      <c r="K12" s="7" t="n">
        <f aca="false">Depreciation!K71</f>
        <v>504252.031725</v>
      </c>
      <c r="L12" s="7" t="n">
        <f aca="false">Depreciation!L71</f>
        <v>504252.031725</v>
      </c>
      <c r="M12" s="7" t="n">
        <f aca="false">Depreciation!M71</f>
        <v>504252.031725</v>
      </c>
      <c r="N12" s="7" t="n">
        <f aca="false">Depreciation!N71</f>
        <v>740956.02361888</v>
      </c>
      <c r="O12" s="7" t="n">
        <f aca="false">Depreciation!O71</f>
        <v>740956.02361888</v>
      </c>
      <c r="P12" s="7" t="n">
        <f aca="false">Depreciation!P71</f>
        <v>740956.02361888</v>
      </c>
      <c r="Q12" s="7" t="n">
        <f aca="false">Depreciation!Q71</f>
        <v>740956.02361888</v>
      </c>
      <c r="R12" s="7" t="n">
        <f aca="false">Depreciation!R71</f>
        <v>740956.02361888</v>
      </c>
      <c r="S12" s="7" t="n">
        <f aca="false">Depreciation!S71</f>
        <v>740956.02361888</v>
      </c>
      <c r="T12" s="7" t="n">
        <f aca="false">Depreciation!T71</f>
        <v>740956.02361888</v>
      </c>
      <c r="U12" s="1"/>
      <c r="V12" s="1"/>
    </row>
    <row r="13" customFormat="false" ht="15" hidden="false" customHeight="false" outlineLevel="0" collapsed="false">
      <c r="A13" s="1"/>
      <c r="B13" s="6" t="s">
        <v>385</v>
      </c>
      <c r="C13" s="7" t="n">
        <f aca="false">Projection!C55</f>
        <v>-480000</v>
      </c>
      <c r="D13" s="7" t="n">
        <f aca="false">Projection!D55</f>
        <v>107967.1</v>
      </c>
      <c r="E13" s="7" t="n">
        <f aca="false">Projection!E55</f>
        <v>115389.39</v>
      </c>
      <c r="F13" s="7" t="n">
        <f aca="false">Projection!F55</f>
        <v>116711.05377</v>
      </c>
      <c r="G13" s="7" t="n">
        <f aca="false">Projection!G55</f>
        <v>-301283.62749695</v>
      </c>
      <c r="H13" s="7" t="n">
        <f aca="false">Projection!H55</f>
        <v>142337.758080092</v>
      </c>
      <c r="I13" s="7" t="n">
        <f aca="false">Projection!I55</f>
        <v>144770.502339799</v>
      </c>
      <c r="J13" s="7" t="n">
        <f aca="false">Projection!J55</f>
        <v>147198.994496086</v>
      </c>
      <c r="K13" s="7" t="n">
        <f aca="false">Projection!K55</f>
        <v>149619.277217772</v>
      </c>
      <c r="L13" s="7" t="n">
        <f aca="false">Projection!L55</f>
        <v>152027.051346019</v>
      </c>
      <c r="M13" s="7" t="n">
        <f aca="false">Projection!M55</f>
        <v>154417.650843018</v>
      </c>
      <c r="N13" s="7" t="n">
        <f aca="false">Projection!N55</f>
        <v>-79917.9759742452</v>
      </c>
      <c r="O13" s="7" t="n">
        <f aca="false">Projection!O55</f>
        <v>178507.898232855</v>
      </c>
      <c r="P13" s="7" t="n">
        <f aca="false">Projection!P55</f>
        <v>181983.419646114</v>
      </c>
      <c r="Q13" s="7" t="n">
        <f aca="false">Projection!Q55</f>
        <v>185497.536917446</v>
      </c>
      <c r="R13" s="7" t="n">
        <f aca="false">Projection!R55</f>
        <v>189049.024099501</v>
      </c>
      <c r="S13" s="7" t="n">
        <f aca="false">Projection!S55</f>
        <v>192636.529813654</v>
      </c>
      <c r="T13" s="7" t="n">
        <f aca="false">Projection!T55</f>
        <v>500646.425348448</v>
      </c>
      <c r="U13" s="34" t="n">
        <f aca="false">SUM(D13:T13)</f>
        <v>2277558.00867961</v>
      </c>
      <c r="V13" s="1"/>
    </row>
    <row r="14" customFormat="false" ht="15" hidden="false" customHeight="false" outlineLevel="0" collapsed="false">
      <c r="A14" s="1"/>
      <c r="B14" s="6" t="s">
        <v>399</v>
      </c>
      <c r="C14" s="1"/>
      <c r="D14" s="7" t="n">
        <f aca="false">Projection!D54-IF(D$5=17,WorkingCap,0)</f>
        <v>0</v>
      </c>
      <c r="E14" s="7" t="n">
        <f aca="false">Projection!E54-IF(E$5=17,WorkingCap,0)</f>
        <v>0</v>
      </c>
      <c r="F14" s="7" t="n">
        <f aca="false">Projection!F54-IF(F$5=17,WorkingCap,0)</f>
        <v>0</v>
      </c>
      <c r="G14" s="7" t="n">
        <f aca="false">Projection!G54-IF(G$5=17,WorkingCap,0)</f>
        <v>0</v>
      </c>
      <c r="H14" s="7" t="n">
        <f aca="false">Projection!H54-IF(H$5=17,WorkingCap,0)</f>
        <v>0</v>
      </c>
      <c r="I14" s="7" t="n">
        <f aca="false">Projection!I54-IF(I$5=17,WorkingCap,0)</f>
        <v>0</v>
      </c>
      <c r="J14" s="7" t="n">
        <f aca="false">Projection!J54-IF(J$5=17,WorkingCap,0)</f>
        <v>0</v>
      </c>
      <c r="K14" s="7" t="n">
        <f aca="false">Projection!K54-IF(K$5=17,WorkingCap,0)</f>
        <v>0</v>
      </c>
      <c r="L14" s="7" t="n">
        <f aca="false">Projection!L54-IF(L$5=17,WorkingCap,0)</f>
        <v>0</v>
      </c>
      <c r="M14" s="7" t="n">
        <f aca="false">Projection!M54-IF(M$5=17,WorkingCap,0)</f>
        <v>0</v>
      </c>
      <c r="N14" s="7" t="n">
        <f aca="false">Projection!N54-IF(N$5=17,WorkingCap,0)</f>
        <v>0</v>
      </c>
      <c r="O14" s="7" t="n">
        <f aca="false">Projection!O54-IF(O$5=17,WorkingCap,0)</f>
        <v>0</v>
      </c>
      <c r="P14" s="7" t="n">
        <f aca="false">Projection!P54-IF(P$5=17,WorkingCap,0)</f>
        <v>0</v>
      </c>
      <c r="Q14" s="7" t="n">
        <f aca="false">Projection!Q54-IF(Q$5=17,WorkingCap,0)</f>
        <v>0</v>
      </c>
      <c r="R14" s="7" t="n">
        <f aca="false">Projection!R54-IF(R$5=17,WorkingCap,0)</f>
        <v>0</v>
      </c>
      <c r="S14" s="7" t="n">
        <f aca="false">Projection!S54-IF(S$5=17,WorkingCap,0)</f>
        <v>0</v>
      </c>
      <c r="T14" s="7" t="n">
        <f aca="false">Projection!T54-IF(T$5=17,WorkingCap,0)</f>
        <v>294387.855209069</v>
      </c>
      <c r="U14" s="34" t="n">
        <f aca="false">SUM(D14:T14)</f>
        <v>294387.855209069</v>
      </c>
      <c r="V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5" hidden="false" customHeight="false" outlineLevel="0" collapsed="false">
      <c r="A16" s="1"/>
      <c r="B16" s="4" t="s">
        <v>400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customFormat="false" ht="15" hidden="false" customHeight="false" outlineLevel="0" collapsed="false">
      <c r="A17" s="1"/>
      <c r="B17" s="6" t="s">
        <v>401</v>
      </c>
      <c r="C17" s="1"/>
      <c r="D17" s="24" t="n">
        <f aca="false">D7+D8-D10</f>
        <v>39524.4333333333</v>
      </c>
      <c r="E17" s="24" t="n">
        <f aca="false">E7+E8-E10</f>
        <v>133424.563333333</v>
      </c>
      <c r="F17" s="24" t="n">
        <f aca="false">F7+F8-F10</f>
        <v>136275.791503333</v>
      </c>
      <c r="G17" s="24" t="n">
        <f aca="false">G7+G8-G10</f>
        <v>-280135.790609617</v>
      </c>
      <c r="H17" s="24" t="n">
        <f aca="false">H7+H8-H10</f>
        <v>165124.102591815</v>
      </c>
      <c r="I17" s="24" t="n">
        <f aca="false">I7+I8-I10</f>
        <v>169252.702242766</v>
      </c>
      <c r="J17" s="24" t="n">
        <f aca="false">J7+J8-J10</f>
        <v>173436.40472899</v>
      </c>
      <c r="K17" s="24" t="n">
        <f aca="false">K7+K8-K10</f>
        <v>177673.330142161</v>
      </c>
      <c r="L17" s="24" t="n">
        <f aca="false">L7+L8-L10</f>
        <v>181961.329456095</v>
      </c>
      <c r="M17" s="24" t="n">
        <f aca="false">M7+M8-M10</f>
        <v>186297.96202028</v>
      </c>
      <c r="N17" s="24" t="n">
        <f aca="false">N7+N8-N10</f>
        <v>-46023.5205724457</v>
      </c>
      <c r="O17" s="24" t="n">
        <f aca="false">O7+O8-O10</f>
        <v>214486.992907051</v>
      </c>
      <c r="P17" s="24" t="n">
        <f aca="false">P7+P8-P10</f>
        <v>220120.11596724</v>
      </c>
      <c r="Q17" s="24" t="n">
        <f aca="false">Q7+Q8-Q10</f>
        <v>225867.350943145</v>
      </c>
      <c r="R17" s="24" t="n">
        <f aca="false">R7+R8-R10</f>
        <v>231730.114949433</v>
      </c>
      <c r="S17" s="24" t="n">
        <f aca="false">S7+S8-S10</f>
        <v>263376.458843333</v>
      </c>
      <c r="T17" s="24" t="n">
        <f aca="false">T7+T8-T10</f>
        <v>269474.396685097</v>
      </c>
      <c r="U17" s="34" t="n">
        <f aca="false">SUM(D17:T17)</f>
        <v>2461866.73846534</v>
      </c>
      <c r="V17" s="1"/>
    </row>
    <row r="18" customFormat="false" ht="15" hidden="false" customHeight="false" outlineLevel="0" collapsed="false">
      <c r="A18" s="1"/>
      <c r="B18" s="6" t="s">
        <v>402</v>
      </c>
      <c r="C18" s="1"/>
      <c r="D18" s="24" t="n">
        <f aca="false">IF(D17&gt;0,MIN(D17*0.9235,SSBase*(1+WageGrowth)^(D$5-1))*0.124+D17*0.9235*0.029,0)</f>
        <v>5584.62457005</v>
      </c>
      <c r="E18" s="24" t="n">
        <f aca="false">IF(E17&gt;0,MIN(E17*0.9235,SSBase*(1+WageGrowth)^(E$5-1))*0.124+E17*0.9235*0.029,0)</f>
        <v>18852.290388465</v>
      </c>
      <c r="F18" s="24" t="n">
        <f aca="false">IF(F17&gt;0,MIN(F17*0.9235,SSBase*(1+WageGrowth)^(F$5-1))*0.124+F17*0.9235*0.029,0)</f>
        <v>19255.1560983592</v>
      </c>
      <c r="G18" s="24" t="n">
        <f aca="false">IF(G17&gt;0,MIN(G17*0.9235,SSBase*(1+WageGrowth)^(G$5-1))*0.124+G17*0.9235*0.029,0)</f>
        <v>0</v>
      </c>
      <c r="H18" s="24" t="n">
        <f aca="false">IF(H17&gt;0,MIN(H17*0.9235,SSBase*(1+WageGrowth)^(H$5-1))*0.124+H17*0.9235*0.029,0)</f>
        <v>23331.2926377619</v>
      </c>
      <c r="I18" s="24" t="n">
        <f aca="false">IF(I17&gt;0,MIN(I17*0.9235,SSBase*(1+WageGrowth)^(I$5-1))*0.124+I17*0.9235*0.029,0)</f>
        <v>23914.6451897427</v>
      </c>
      <c r="J18" s="24" t="n">
        <f aca="false">IF(J17&gt;0,MIN(J17*0.9235,SSBase*(1+WageGrowth)^(J$5-1))*0.124+J17*0.9235*0.029,0)</f>
        <v>24505.783524385</v>
      </c>
      <c r="K18" s="24" t="n">
        <f aca="false">IF(K17&gt;0,MIN(K17*0.9235,SSBase*(1+WageGrowth)^(K$5-1))*0.124+K17*0.9235*0.029,0)</f>
        <v>25104.4420191017</v>
      </c>
      <c r="L18" s="24" t="n">
        <f aca="false">IF(L17&gt;0,MIN(L17*0.9235,SSBase*(1+WageGrowth)^(L$5-1))*0.124+L17*0.9235*0.029,0)</f>
        <v>25710.3170261637</v>
      </c>
      <c r="M18" s="24" t="n">
        <f aca="false">IF(M17&gt;0,MIN(M17*0.9235,SSBase*(1+WageGrowth)^(M$5-1))*0.124+M17*0.9235*0.029,0)</f>
        <v>26323.0636926364</v>
      </c>
      <c r="N18" s="24" t="n">
        <f aca="false">IF(N17&gt;0,MIN(N17*0.9235,SSBase*(1+WageGrowth)^(N$5-1))*0.124+N17*0.9235*0.029,0)</f>
        <v>0</v>
      </c>
      <c r="O18" s="24" t="n">
        <f aca="false">IF(O17&gt;0,MIN(O17*0.9235,SSBase*(1+WageGrowth)^(O$5-1))*0.124+O17*0.9235*0.029,0)</f>
        <v>30306.0469062982</v>
      </c>
      <c r="P18" s="24" t="n">
        <f aca="false">IF(P17&gt;0,MIN(P17*0.9235,SSBase*(1+WageGrowth)^(P$5-1))*0.124+P17*0.9235*0.029,0)</f>
        <v>31101.9818456492</v>
      </c>
      <c r="Q18" s="24" t="n">
        <f aca="false">IF(Q17&gt;0,MIN(Q17*0.9235,SSBase*(1+WageGrowth)^(Q$5-1))*0.124+Q17*0.9235*0.029,0)</f>
        <v>31914.0402851871</v>
      </c>
      <c r="R18" s="24" t="n">
        <f aca="false">IF(R17&gt;0,MIN(R17*0.9235,SSBase*(1+WageGrowth)^(R$5-1))*0.124+R17*0.9235*0.029,0)</f>
        <v>32742.4224568376</v>
      </c>
      <c r="S18" s="24" t="n">
        <f aca="false">IF(S17&gt;0,MIN(S17*0.9235,SSBase*(1+WageGrowth)^(S$5-1))*0.124+S17*0.9235*0.029,0)</f>
        <v>37213.9084404982</v>
      </c>
      <c r="T18" s="24" t="n">
        <f aca="false">IF(T17&gt;0,MIN(T17*0.9235,SSBase*(1+WageGrowth)^(T$5-1))*0.124+T17*0.9235*0.029,0)</f>
        <v>38075.5196168191</v>
      </c>
      <c r="U18" s="34" t="n">
        <f aca="false">SUM(D18:T18)</f>
        <v>393935.534697955</v>
      </c>
      <c r="V18" s="1"/>
    </row>
    <row r="19" customFormat="false" ht="15" hidden="false" customHeight="false" outlineLevel="0" collapsed="false">
      <c r="A19" s="1"/>
      <c r="B19" s="6" t="s">
        <v>403</v>
      </c>
      <c r="C19" s="1"/>
      <c r="D19" s="24" t="n">
        <f aca="false">MAX(0,D17-D18/2)*QBIRate</f>
        <v>7346.42420966166</v>
      </c>
      <c r="E19" s="24" t="n">
        <f aca="false">MAX(0,E17-E18/2)*QBIRate</f>
        <v>24799.6836278202</v>
      </c>
      <c r="F19" s="24" t="n">
        <f aca="false">MAX(0,F17-F18/2)*QBIRate</f>
        <v>25329.6426908307</v>
      </c>
      <c r="G19" s="24" t="n">
        <f aca="false">MAX(0,G17-G18/2)*QBIRate</f>
        <v>0</v>
      </c>
      <c r="H19" s="24" t="n">
        <f aca="false">MAX(0,H17-H18/2)*QBIRate</f>
        <v>30691.6912545869</v>
      </c>
      <c r="I19" s="24" t="n">
        <f aca="false">MAX(0,I17-I18/2)*QBIRate</f>
        <v>31459.0759295789</v>
      </c>
      <c r="J19" s="24" t="n">
        <f aca="false">MAX(0,J17-J18/2)*QBIRate</f>
        <v>32236.7025933595</v>
      </c>
      <c r="K19" s="24" t="n">
        <f aca="false">MAX(0,K17-K18/2)*QBIRate</f>
        <v>33024.221826522</v>
      </c>
      <c r="L19" s="24" t="n">
        <f aca="false">MAX(0,L17-L18/2)*QBIRate</f>
        <v>33821.2341886027</v>
      </c>
      <c r="M19" s="24" t="n">
        <f aca="false">MAX(0,M17-M18/2)*QBIRate</f>
        <v>34627.2860347923</v>
      </c>
      <c r="N19" s="24" t="n">
        <f aca="false">MAX(0,N17-N18/2)*QBIRate</f>
        <v>0</v>
      </c>
      <c r="O19" s="24" t="n">
        <f aca="false">MAX(0,O17-O18/2)*QBIRate</f>
        <v>39866.7938907803</v>
      </c>
      <c r="P19" s="24" t="n">
        <f aca="false">MAX(0,P17-P18/2)*QBIRate</f>
        <v>40913.8250088831</v>
      </c>
      <c r="Q19" s="24" t="n">
        <f aca="false">MAX(0,Q17-Q18/2)*QBIRate</f>
        <v>41982.0661601103</v>
      </c>
      <c r="R19" s="24" t="n">
        <f aca="false">MAX(0,R17-R18/2)*QBIRate</f>
        <v>43071.7807442028</v>
      </c>
      <c r="S19" s="24" t="n">
        <f aca="false">MAX(0,S17-S18/2)*QBIRate</f>
        <v>48953.9009246168</v>
      </c>
      <c r="T19" s="24" t="n">
        <f aca="false">MAX(0,T17-T18/2)*QBIRate</f>
        <v>50087.3273753375</v>
      </c>
      <c r="U19" s="34" t="n">
        <f aca="false">SUM(D19:T19)</f>
        <v>518211.656459686</v>
      </c>
      <c r="V19" s="1"/>
    </row>
    <row r="20" customFormat="false" ht="15" hidden="false" customHeight="false" outlineLevel="0" collapsed="false">
      <c r="A20" s="1"/>
      <c r="B20" s="6" t="s">
        <v>404</v>
      </c>
      <c r="C20" s="1"/>
      <c r="D20" s="24" t="n">
        <f aca="false">D17-D18/2-D19</f>
        <v>29385.6968386466</v>
      </c>
      <c r="E20" s="24" t="n">
        <f aca="false">E17-E18/2-E19</f>
        <v>99198.7345112807</v>
      </c>
      <c r="F20" s="24" t="n">
        <f aca="false">F17-F18/2-F19</f>
        <v>101318.570763323</v>
      </c>
      <c r="G20" s="24" t="n">
        <f aca="false">G17-G18/2-G19</f>
        <v>-280135.790609617</v>
      </c>
      <c r="H20" s="24" t="n">
        <f aca="false">H17-H18/2-H19</f>
        <v>122766.765018348</v>
      </c>
      <c r="I20" s="24" t="n">
        <f aca="false">I17-I18/2-I19</f>
        <v>125836.303718315</v>
      </c>
      <c r="J20" s="24" t="n">
        <f aca="false">J17-J18/2-J19</f>
        <v>128946.810373438</v>
      </c>
      <c r="K20" s="24" t="n">
        <f aca="false">K17-K18/2-K19</f>
        <v>132096.887306088</v>
      </c>
      <c r="L20" s="24" t="n">
        <f aca="false">L17-L18/2-L19</f>
        <v>135284.936754411</v>
      </c>
      <c r="M20" s="24" t="n">
        <f aca="false">M17-M18/2-M19</f>
        <v>138509.144139169</v>
      </c>
      <c r="N20" s="24" t="n">
        <f aca="false">N17-N18/2-N19</f>
        <v>-46023.5205724457</v>
      </c>
      <c r="O20" s="24" t="n">
        <f aca="false">O17-O18/2-O19</f>
        <v>159467.175563121</v>
      </c>
      <c r="P20" s="24" t="n">
        <f aca="false">P17-P18/2-P19</f>
        <v>163655.300035532</v>
      </c>
      <c r="Q20" s="24" t="n">
        <f aca="false">Q17-Q18/2-Q19</f>
        <v>167928.264640441</v>
      </c>
      <c r="R20" s="24" t="n">
        <f aca="false">R17-R18/2-R19</f>
        <v>172287.122976811</v>
      </c>
      <c r="S20" s="24" t="n">
        <f aca="false">S17-S18/2-S19</f>
        <v>195815.603698467</v>
      </c>
      <c r="T20" s="24" t="n">
        <f aca="false">T17-T18/2-T19</f>
        <v>200349.30950135</v>
      </c>
      <c r="U20" s="34" t="n">
        <f aca="false">SUM(D20:T20)</f>
        <v>1746687.31465668</v>
      </c>
      <c r="V20" s="1"/>
    </row>
    <row r="21" customFormat="false" ht="15" hidden="false" customHeight="false" outlineLevel="0" collapsed="false">
      <c r="A21" s="1"/>
      <c r="B21" s="6" t="s">
        <v>405</v>
      </c>
      <c r="C21" s="1"/>
      <c r="D21" s="24" t="n">
        <f aca="false">0</f>
        <v>0</v>
      </c>
      <c r="E21" s="24" t="n">
        <f aca="false">D24</f>
        <v>0</v>
      </c>
      <c r="F21" s="24" t="n">
        <f aca="false">E24</f>
        <v>0</v>
      </c>
      <c r="G21" s="24" t="n">
        <f aca="false">F24</f>
        <v>0</v>
      </c>
      <c r="H21" s="24" t="n">
        <f aca="false">G24</f>
        <v>230135.790609617</v>
      </c>
      <c r="I21" s="24" t="n">
        <f aca="false">H24</f>
        <v>107369.025591269</v>
      </c>
      <c r="J21" s="24" t="n">
        <f aca="false">I24</f>
        <v>0</v>
      </c>
      <c r="K21" s="24" t="n">
        <f aca="false">J24</f>
        <v>0</v>
      </c>
      <c r="L21" s="24" t="n">
        <f aca="false">K24</f>
        <v>0</v>
      </c>
      <c r="M21" s="24" t="n">
        <f aca="false">L24</f>
        <v>0</v>
      </c>
      <c r="N21" s="24" t="n">
        <f aca="false">M24</f>
        <v>0</v>
      </c>
      <c r="O21" s="24" t="n">
        <f aca="false">N24</f>
        <v>0</v>
      </c>
      <c r="P21" s="24" t="n">
        <f aca="false">O24</f>
        <v>0</v>
      </c>
      <c r="Q21" s="24" t="n">
        <f aca="false">P24</f>
        <v>0</v>
      </c>
      <c r="R21" s="24" t="n">
        <f aca="false">Q24</f>
        <v>0</v>
      </c>
      <c r="S21" s="24" t="n">
        <f aca="false">R24</f>
        <v>0</v>
      </c>
      <c r="T21" s="24" t="n">
        <f aca="false">S24</f>
        <v>0</v>
      </c>
      <c r="U21" s="1"/>
      <c r="V21" s="1"/>
    </row>
    <row r="22" customFormat="false" ht="15" hidden="false" customHeight="false" outlineLevel="0" collapsed="false">
      <c r="A22" s="1"/>
      <c r="B22" s="6" t="s">
        <v>406</v>
      </c>
      <c r="C22" s="1"/>
      <c r="D22" s="24" t="n">
        <f aca="false">MIN(D21,MAX(0,D20))</f>
        <v>0</v>
      </c>
      <c r="E22" s="24" t="n">
        <f aca="false">MIN(E21,MAX(0,E20))</f>
        <v>0</v>
      </c>
      <c r="F22" s="24" t="n">
        <f aca="false">MIN(F21,MAX(0,F20))</f>
        <v>0</v>
      </c>
      <c r="G22" s="24" t="n">
        <f aca="false">MIN(G21,MAX(0,G20))</f>
        <v>0</v>
      </c>
      <c r="H22" s="24" t="n">
        <f aca="false">MIN(H21,MAX(0,H20))</f>
        <v>122766.765018348</v>
      </c>
      <c r="I22" s="24" t="n">
        <f aca="false">MIN(I21,MAX(0,I20))</f>
        <v>107369.025591269</v>
      </c>
      <c r="J22" s="24" t="n">
        <f aca="false">MIN(J21,MAX(0,J20))</f>
        <v>0</v>
      </c>
      <c r="K22" s="24" t="n">
        <f aca="false">MIN(K21,MAX(0,K20))</f>
        <v>0</v>
      </c>
      <c r="L22" s="24" t="n">
        <f aca="false">MIN(L21,MAX(0,L20))</f>
        <v>0</v>
      </c>
      <c r="M22" s="24" t="n">
        <f aca="false">MIN(M21,MAX(0,M20))</f>
        <v>0</v>
      </c>
      <c r="N22" s="24" t="n">
        <f aca="false">MIN(N21,MAX(0,N20))</f>
        <v>0</v>
      </c>
      <c r="O22" s="24" t="n">
        <f aca="false">MIN(O21,MAX(0,O20))</f>
        <v>0</v>
      </c>
      <c r="P22" s="24" t="n">
        <f aca="false">MIN(P21,MAX(0,P20))</f>
        <v>0</v>
      </c>
      <c r="Q22" s="24" t="n">
        <f aca="false">MIN(Q21,MAX(0,Q20))</f>
        <v>0</v>
      </c>
      <c r="R22" s="24" t="n">
        <f aca="false">MIN(R21,MAX(0,R20))</f>
        <v>0</v>
      </c>
      <c r="S22" s="24" t="n">
        <f aca="false">MIN(S21,MAX(0,S20))</f>
        <v>0</v>
      </c>
      <c r="T22" s="24" t="n">
        <f aca="false">MIN(T21,MAX(0,T20))</f>
        <v>0</v>
      </c>
      <c r="U22" s="34" t="n">
        <f aca="false">SUM(D22:T22)</f>
        <v>230135.790609617</v>
      </c>
      <c r="V22" s="1"/>
    </row>
    <row r="23" customFormat="false" ht="15" hidden="false" customHeight="false" outlineLevel="0" collapsed="false">
      <c r="A23" s="1"/>
      <c r="B23" s="6" t="s">
        <v>407</v>
      </c>
      <c r="C23" s="1"/>
      <c r="D23" s="24" t="n">
        <f aca="false">IF(D20&lt;0,MIN(-D20,MIN(RyanOtherInc,EBLSingle)),0)</f>
        <v>0</v>
      </c>
      <c r="E23" s="24" t="n">
        <f aca="false">IF(E20&lt;0,MIN(-E20,MIN(RyanOtherInc,EBLSingle)),0)</f>
        <v>0</v>
      </c>
      <c r="F23" s="24" t="n">
        <f aca="false">IF(F20&lt;0,MIN(-F20,MIN(RyanOtherInc,EBLSingle)),0)</f>
        <v>0</v>
      </c>
      <c r="G23" s="24" t="n">
        <f aca="false">IF(G20&lt;0,MIN(-G20,MIN(RyanOtherInc,EBLSingle)),0)</f>
        <v>50000</v>
      </c>
      <c r="H23" s="24" t="n">
        <f aca="false">IF(H20&lt;0,MIN(-H20,MIN(RyanOtherInc,EBLSingle)),0)</f>
        <v>0</v>
      </c>
      <c r="I23" s="24" t="n">
        <f aca="false">IF(I20&lt;0,MIN(-I20,MIN(RyanOtherInc,EBLSingle)),0)</f>
        <v>0</v>
      </c>
      <c r="J23" s="24" t="n">
        <f aca="false">IF(J20&lt;0,MIN(-J20,MIN(RyanOtherInc,EBLSingle)),0)</f>
        <v>0</v>
      </c>
      <c r="K23" s="24" t="n">
        <f aca="false">IF(K20&lt;0,MIN(-K20,MIN(RyanOtherInc,EBLSingle)),0)</f>
        <v>0</v>
      </c>
      <c r="L23" s="24" t="n">
        <f aca="false">IF(L20&lt;0,MIN(-L20,MIN(RyanOtherInc,EBLSingle)),0)</f>
        <v>0</v>
      </c>
      <c r="M23" s="24" t="n">
        <f aca="false">IF(M20&lt;0,MIN(-M20,MIN(RyanOtherInc,EBLSingle)),0)</f>
        <v>0</v>
      </c>
      <c r="N23" s="24" t="n">
        <f aca="false">IF(N20&lt;0,MIN(-N20,MIN(RyanOtherInc,EBLSingle)),0)</f>
        <v>46023.5205724457</v>
      </c>
      <c r="O23" s="24" t="n">
        <f aca="false">IF(O20&lt;0,MIN(-O20,MIN(RyanOtherInc,EBLSingle)),0)</f>
        <v>0</v>
      </c>
      <c r="P23" s="24" t="n">
        <f aca="false">IF(P20&lt;0,MIN(-P20,MIN(RyanOtherInc,EBLSingle)),0)</f>
        <v>0</v>
      </c>
      <c r="Q23" s="24" t="n">
        <f aca="false">IF(Q20&lt;0,MIN(-Q20,MIN(RyanOtherInc,EBLSingle)),0)</f>
        <v>0</v>
      </c>
      <c r="R23" s="24" t="n">
        <f aca="false">IF(R20&lt;0,MIN(-R20,MIN(RyanOtherInc,EBLSingle)),0)</f>
        <v>0</v>
      </c>
      <c r="S23" s="24" t="n">
        <f aca="false">IF(S20&lt;0,MIN(-S20,MIN(RyanOtherInc,EBLSingle)),0)</f>
        <v>0</v>
      </c>
      <c r="T23" s="24" t="n">
        <f aca="false">IF(T20&lt;0,MIN(-T20,MIN(RyanOtherInc,EBLSingle)),0)</f>
        <v>0</v>
      </c>
      <c r="U23" s="34" t="n">
        <f aca="false">SUM(D23:T23)</f>
        <v>96023.5205724457</v>
      </c>
      <c r="V23" s="1"/>
    </row>
    <row r="24" customFormat="false" ht="15" hidden="false" customHeight="false" outlineLevel="0" collapsed="false">
      <c r="A24" s="1"/>
      <c r="B24" s="6" t="s">
        <v>408</v>
      </c>
      <c r="C24" s="1"/>
      <c r="D24" s="24" t="n">
        <f aca="false">D21-D22+MAX(0,-D20)-D23</f>
        <v>0</v>
      </c>
      <c r="E24" s="24" t="n">
        <f aca="false">E21-E22+MAX(0,-E20)-E23</f>
        <v>0</v>
      </c>
      <c r="F24" s="24" t="n">
        <f aca="false">F21-F22+MAX(0,-F20)-F23</f>
        <v>0</v>
      </c>
      <c r="G24" s="24" t="n">
        <f aca="false">G21-G22+MAX(0,-G20)-G23</f>
        <v>230135.790609617</v>
      </c>
      <c r="H24" s="24" t="n">
        <f aca="false">H21-H22+MAX(0,-H20)-H23</f>
        <v>107369.025591269</v>
      </c>
      <c r="I24" s="24" t="n">
        <f aca="false">I21-I22+MAX(0,-I20)-I23</f>
        <v>0</v>
      </c>
      <c r="J24" s="24" t="n">
        <f aca="false">J21-J22+MAX(0,-J20)-J23</f>
        <v>0</v>
      </c>
      <c r="K24" s="24" t="n">
        <f aca="false">K21-K22+MAX(0,-K20)-K23</f>
        <v>0</v>
      </c>
      <c r="L24" s="24" t="n">
        <f aca="false">L21-L22+MAX(0,-L20)-L23</f>
        <v>0</v>
      </c>
      <c r="M24" s="24" t="n">
        <f aca="false">M21-M22+MAX(0,-M20)-M23</f>
        <v>0</v>
      </c>
      <c r="N24" s="24" t="n">
        <f aca="false">N21-N22+MAX(0,-N20)-N23</f>
        <v>0</v>
      </c>
      <c r="O24" s="24" t="n">
        <f aca="false">O21-O22+MAX(0,-O20)-O23</f>
        <v>0</v>
      </c>
      <c r="P24" s="24" t="n">
        <f aca="false">P21-P22+MAX(0,-P20)-P23</f>
        <v>0</v>
      </c>
      <c r="Q24" s="24" t="n">
        <f aca="false">Q21-Q22+MAX(0,-Q20)-Q23</f>
        <v>0</v>
      </c>
      <c r="R24" s="24" t="n">
        <f aca="false">R21-R22+MAX(0,-R20)-R23</f>
        <v>0</v>
      </c>
      <c r="S24" s="24" t="n">
        <f aca="false">S21-S22+MAX(0,-S20)-S23</f>
        <v>0</v>
      </c>
      <c r="T24" s="24" t="n">
        <f aca="false">T21-T22+MAX(0,-T20)-T23</f>
        <v>0</v>
      </c>
      <c r="U24" s="1"/>
      <c r="V24" s="1"/>
    </row>
    <row r="25" customFormat="false" ht="15" hidden="false" customHeight="false" outlineLevel="0" collapsed="false">
      <c r="A25" s="1"/>
      <c r="B25" s="6" t="s">
        <v>409</v>
      </c>
      <c r="C25" s="1"/>
      <c r="D25" s="24" t="n">
        <f aca="false">(MAX(0,D20)-D22-D23)*RyanFed</f>
        <v>6464.85330450226</v>
      </c>
      <c r="E25" s="24" t="n">
        <f aca="false">(MAX(0,E20)-E22-E23)*RyanFed</f>
        <v>21823.7215924818</v>
      </c>
      <c r="F25" s="24" t="n">
        <f aca="false">(MAX(0,F20)-F22-F23)*RyanFed</f>
        <v>22290.0855679311</v>
      </c>
      <c r="G25" s="24" t="n">
        <f aca="false">(MAX(0,G20)-G22-G23)*RyanFed</f>
        <v>-11000</v>
      </c>
      <c r="H25" s="24" t="n">
        <f aca="false">(MAX(0,H20)-H22-H23)*RyanFed</f>
        <v>0</v>
      </c>
      <c r="I25" s="24" t="n">
        <f aca="false">(MAX(0,I20)-I22-I23)*RyanFed</f>
        <v>4062.8011879502</v>
      </c>
      <c r="J25" s="24" t="n">
        <f aca="false">(MAX(0,J20)-J22-J23)*RyanFed</f>
        <v>28368.2982821563</v>
      </c>
      <c r="K25" s="24" t="n">
        <f aca="false">(MAX(0,K20)-K22-K23)*RyanFed</f>
        <v>29061.3152073393</v>
      </c>
      <c r="L25" s="24" t="n">
        <f aca="false">(MAX(0,L20)-L22-L23)*RyanFed</f>
        <v>29762.6860859704</v>
      </c>
      <c r="M25" s="24" t="n">
        <f aca="false">(MAX(0,M20)-M22-M23)*RyanFed</f>
        <v>30472.0117106172</v>
      </c>
      <c r="N25" s="24" t="n">
        <f aca="false">(MAX(0,N20)-N22-N23)*RyanFed</f>
        <v>-10125.174525938</v>
      </c>
      <c r="O25" s="24" t="n">
        <f aca="false">(MAX(0,O20)-O22-O23)*RyanFed</f>
        <v>35082.7786238867</v>
      </c>
      <c r="P25" s="24" t="n">
        <f aca="false">(MAX(0,P20)-P22-P23)*RyanFed</f>
        <v>36004.1660078171</v>
      </c>
      <c r="Q25" s="24" t="n">
        <f aca="false">(MAX(0,Q20)-Q22-Q23)*RyanFed</f>
        <v>36944.218220897</v>
      </c>
      <c r="R25" s="24" t="n">
        <f aca="false">(MAX(0,R20)-R22-R23)*RyanFed</f>
        <v>37903.1670548984</v>
      </c>
      <c r="S25" s="24" t="n">
        <f aca="false">(MAX(0,S20)-S22-S23)*RyanFed</f>
        <v>43079.4328136628</v>
      </c>
      <c r="T25" s="24" t="n">
        <f aca="false">(MAX(0,T20)-T22-T23)*RyanFed</f>
        <v>44076.848090297</v>
      </c>
      <c r="U25" s="34" t="n">
        <f aca="false">SUM(D25:T25)</f>
        <v>384271.20922447</v>
      </c>
      <c r="V25" s="1"/>
    </row>
    <row r="26" customFormat="false" ht="15" hidden="false" customHeight="false" outlineLevel="0" collapsed="false">
      <c r="A26" s="1"/>
      <c r="B26" s="6" t="s">
        <v>410</v>
      </c>
      <c r="C26" s="1"/>
      <c r="D26" s="24" t="n">
        <f aca="false">D7+D8-D11</f>
        <v>91691.1</v>
      </c>
      <c r="E26" s="24" t="n">
        <f aca="false">E7+E8-E11</f>
        <v>120557.896666667</v>
      </c>
      <c r="F26" s="24" t="n">
        <f aca="false">F7+F8-F11</f>
        <v>127889.124836667</v>
      </c>
      <c r="G26" s="24" t="n">
        <f aca="false">G7+G8-G11</f>
        <v>29567.1681037167</v>
      </c>
      <c r="H26" s="24" t="n">
        <f aca="false">H7+H8-H11</f>
        <v>33264.7857731487</v>
      </c>
      <c r="I26" s="24" t="n">
        <f aca="false">I7+I8-I11</f>
        <v>89873.6454848989</v>
      </c>
      <c r="J26" s="24" t="n">
        <f aca="false">J7+J8-J11</f>
        <v>126351.904007603</v>
      </c>
      <c r="K26" s="24" t="n">
        <f aca="false">K7+K8-K11</f>
        <v>130588.829420774</v>
      </c>
      <c r="L26" s="24" t="n">
        <f aca="false">L7+L8-L11</f>
        <v>157585.745762069</v>
      </c>
      <c r="M26" s="24" t="n">
        <f aca="false">M7+M8-M11</f>
        <v>184631.295353613</v>
      </c>
      <c r="N26" s="24" t="n">
        <f aca="false">N7+N8-N11</f>
        <v>121673.006275992</v>
      </c>
      <c r="O26" s="24" t="n">
        <f aca="false">O7+O8-O11</f>
        <v>145075.048834342</v>
      </c>
      <c r="P26" s="24" t="n">
        <f aca="false">P7+P8-P11</f>
        <v>177806.282856948</v>
      </c>
      <c r="Q26" s="24" t="n">
        <f aca="false">Q7+Q8-Q11</f>
        <v>199812.384410303</v>
      </c>
      <c r="R26" s="24" t="n">
        <f aca="false">R7+R8-R11</f>
        <v>205675.148416591</v>
      </c>
      <c r="S26" s="24" t="n">
        <f aca="false">S7+S8-S11</f>
        <v>250348.975576912</v>
      </c>
      <c r="T26" s="24" t="n">
        <f aca="false">T7+T8-T11</f>
        <v>269474.396685097</v>
      </c>
      <c r="U26" s="34" t="n">
        <f aca="false">SUM(D26:T26)</f>
        <v>2461866.73846534</v>
      </c>
      <c r="V26" s="1"/>
    </row>
    <row r="27" customFormat="false" ht="15" hidden="false" customHeight="false" outlineLevel="0" collapsed="false">
      <c r="A27" s="1"/>
      <c r="B27" s="6" t="s">
        <v>411</v>
      </c>
      <c r="C27" s="1"/>
      <c r="D27" s="24" t="n">
        <f aca="false">0</f>
        <v>0</v>
      </c>
      <c r="E27" s="24" t="n">
        <f aca="false">D30</f>
        <v>0</v>
      </c>
      <c r="F27" s="24" t="n">
        <f aca="false">E30</f>
        <v>0</v>
      </c>
      <c r="G27" s="24" t="n">
        <f aca="false">F30</f>
        <v>0</v>
      </c>
      <c r="H27" s="24" t="n">
        <f aca="false">G30</f>
        <v>0</v>
      </c>
      <c r="I27" s="24" t="n">
        <f aca="false">H30</f>
        <v>0</v>
      </c>
      <c r="J27" s="24" t="n">
        <f aca="false">I30</f>
        <v>0</v>
      </c>
      <c r="K27" s="24" t="n">
        <f aca="false">J30</f>
        <v>0</v>
      </c>
      <c r="L27" s="24" t="n">
        <f aca="false">K30</f>
        <v>0</v>
      </c>
      <c r="M27" s="24" t="n">
        <f aca="false">L30</f>
        <v>0</v>
      </c>
      <c r="N27" s="24" t="n">
        <f aca="false">M30</f>
        <v>0</v>
      </c>
      <c r="O27" s="24" t="n">
        <f aca="false">N30</f>
        <v>0</v>
      </c>
      <c r="P27" s="24" t="n">
        <f aca="false">O30</f>
        <v>0</v>
      </c>
      <c r="Q27" s="24" t="n">
        <f aca="false">P30</f>
        <v>0</v>
      </c>
      <c r="R27" s="24" t="n">
        <f aca="false">Q30</f>
        <v>0</v>
      </c>
      <c r="S27" s="24" t="n">
        <f aca="false">R30</f>
        <v>0</v>
      </c>
      <c r="T27" s="24" t="n">
        <f aca="false">S30</f>
        <v>0</v>
      </c>
      <c r="U27" s="1"/>
      <c r="V27" s="1"/>
    </row>
    <row r="28" customFormat="false" ht="15" hidden="false" customHeight="false" outlineLevel="0" collapsed="false">
      <c r="A28" s="1"/>
      <c r="B28" s="6" t="s">
        <v>412</v>
      </c>
      <c r="C28" s="1"/>
      <c r="D28" s="24" t="n">
        <f aca="false">MIN(D27,MAX(0,D26))</f>
        <v>0</v>
      </c>
      <c r="E28" s="24" t="n">
        <f aca="false">MIN(E27,MAX(0,E26))</f>
        <v>0</v>
      </c>
      <c r="F28" s="24" t="n">
        <f aca="false">MIN(F27,MAX(0,F26))</f>
        <v>0</v>
      </c>
      <c r="G28" s="24" t="n">
        <f aca="false">MIN(G27,MAX(0,G26))</f>
        <v>0</v>
      </c>
      <c r="H28" s="24" t="n">
        <f aca="false">MIN(H27,MAX(0,H26))</f>
        <v>0</v>
      </c>
      <c r="I28" s="24" t="n">
        <f aca="false">MIN(I27,MAX(0,I26))</f>
        <v>0</v>
      </c>
      <c r="J28" s="24" t="n">
        <f aca="false">MIN(J27,MAX(0,J26))</f>
        <v>0</v>
      </c>
      <c r="K28" s="24" t="n">
        <f aca="false">MIN(K27,MAX(0,K26))</f>
        <v>0</v>
      </c>
      <c r="L28" s="24" t="n">
        <f aca="false">MIN(L27,MAX(0,L26))</f>
        <v>0</v>
      </c>
      <c r="M28" s="24" t="n">
        <f aca="false">MIN(M27,MAX(0,M26))</f>
        <v>0</v>
      </c>
      <c r="N28" s="24" t="n">
        <f aca="false">MIN(N27,MAX(0,N26))</f>
        <v>0</v>
      </c>
      <c r="O28" s="24" t="n">
        <f aca="false">MIN(O27,MAX(0,O26))</f>
        <v>0</v>
      </c>
      <c r="P28" s="24" t="n">
        <f aca="false">MIN(P27,MAX(0,P26))</f>
        <v>0</v>
      </c>
      <c r="Q28" s="24" t="n">
        <f aca="false">MIN(Q27,MAX(0,Q26))</f>
        <v>0</v>
      </c>
      <c r="R28" s="24" t="n">
        <f aca="false">MIN(R27,MAX(0,R26))</f>
        <v>0</v>
      </c>
      <c r="S28" s="24" t="n">
        <f aca="false">MIN(S27,MAX(0,S26))</f>
        <v>0</v>
      </c>
      <c r="T28" s="24" t="n">
        <f aca="false">MIN(T27,MAX(0,T26))</f>
        <v>0</v>
      </c>
      <c r="U28" s="34" t="n">
        <f aca="false">SUM(D28:T28)</f>
        <v>0</v>
      </c>
      <c r="V28" s="1"/>
    </row>
    <row r="29" customFormat="false" ht="15" hidden="false" customHeight="false" outlineLevel="0" collapsed="false">
      <c r="A29" s="1"/>
      <c r="B29" s="6" t="s">
        <v>413</v>
      </c>
      <c r="C29" s="1"/>
      <c r="D29" s="24" t="n">
        <f aca="false">IF(D26&lt;0,MIN(-D26,0),0)</f>
        <v>0</v>
      </c>
      <c r="E29" s="24" t="n">
        <f aca="false">IF(E26&lt;0,MIN(-E26,0),0)</f>
        <v>0</v>
      </c>
      <c r="F29" s="24" t="n">
        <f aca="false">IF(F26&lt;0,MIN(-F26,0),0)</f>
        <v>0</v>
      </c>
      <c r="G29" s="24" t="n">
        <f aca="false">IF(G26&lt;0,MIN(-G26,0),0)</f>
        <v>0</v>
      </c>
      <c r="H29" s="24" t="n">
        <f aca="false">IF(H26&lt;0,MIN(-H26,0),0)</f>
        <v>0</v>
      </c>
      <c r="I29" s="24" t="n">
        <f aca="false">IF(I26&lt;0,MIN(-I26,0),0)</f>
        <v>0</v>
      </c>
      <c r="J29" s="24" t="n">
        <f aca="false">IF(J26&lt;0,MIN(-J26,0),0)</f>
        <v>0</v>
      </c>
      <c r="K29" s="24" t="n">
        <f aca="false">IF(K26&lt;0,MIN(-K26,0),0)</f>
        <v>0</v>
      </c>
      <c r="L29" s="24" t="n">
        <f aca="false">IF(L26&lt;0,MIN(-L26,0),0)</f>
        <v>0</v>
      </c>
      <c r="M29" s="24" t="n">
        <f aca="false">IF(M26&lt;0,MIN(-M26,0),0)</f>
        <v>0</v>
      </c>
      <c r="N29" s="24" t="n">
        <f aca="false">IF(N26&lt;0,MIN(-N26,0),0)</f>
        <v>0</v>
      </c>
      <c r="O29" s="24" t="n">
        <f aca="false">IF(O26&lt;0,MIN(-O26,0),0)</f>
        <v>0</v>
      </c>
      <c r="P29" s="24" t="n">
        <f aca="false">IF(P26&lt;0,MIN(-P26,0),0)</f>
        <v>0</v>
      </c>
      <c r="Q29" s="24" t="n">
        <f aca="false">IF(Q26&lt;0,MIN(-Q26,0),0)</f>
        <v>0</v>
      </c>
      <c r="R29" s="24" t="n">
        <f aca="false">IF(R26&lt;0,MIN(-R26,0),0)</f>
        <v>0</v>
      </c>
      <c r="S29" s="24" t="n">
        <f aca="false">IF(S26&lt;0,MIN(-S26,0),0)</f>
        <v>0</v>
      </c>
      <c r="T29" s="24" t="n">
        <f aca="false">IF(T26&lt;0,MIN(-T26,0),0)</f>
        <v>0</v>
      </c>
      <c r="U29" s="34" t="n">
        <f aca="false">SUM(D29:T29)</f>
        <v>0</v>
      </c>
      <c r="V29" s="1"/>
    </row>
    <row r="30" customFormat="false" ht="15" hidden="false" customHeight="false" outlineLevel="0" collapsed="false">
      <c r="A30" s="1"/>
      <c r="B30" s="6" t="s">
        <v>414</v>
      </c>
      <c r="C30" s="1"/>
      <c r="D30" s="24" t="n">
        <f aca="false">D27-D28+MAX(0,-D26)-D29</f>
        <v>0</v>
      </c>
      <c r="E30" s="24" t="n">
        <f aca="false">E27-E28+MAX(0,-E26)-E29</f>
        <v>0</v>
      </c>
      <c r="F30" s="24" t="n">
        <f aca="false">F27-F28+MAX(0,-F26)-F29</f>
        <v>0</v>
      </c>
      <c r="G30" s="24" t="n">
        <f aca="false">G27-G28+MAX(0,-G26)-G29</f>
        <v>0</v>
      </c>
      <c r="H30" s="24" t="n">
        <f aca="false">H27-H28+MAX(0,-H26)-H29</f>
        <v>0</v>
      </c>
      <c r="I30" s="24" t="n">
        <f aca="false">I27-I28+MAX(0,-I26)-I29</f>
        <v>0</v>
      </c>
      <c r="J30" s="24" t="n">
        <f aca="false">J27-J28+MAX(0,-J26)-J29</f>
        <v>0</v>
      </c>
      <c r="K30" s="24" t="n">
        <f aca="false">K27-K28+MAX(0,-K26)-K29</f>
        <v>0</v>
      </c>
      <c r="L30" s="24" t="n">
        <f aca="false">L27-L28+MAX(0,-L26)-L29</f>
        <v>0</v>
      </c>
      <c r="M30" s="24" t="n">
        <f aca="false">M27-M28+MAX(0,-M26)-M29</f>
        <v>0</v>
      </c>
      <c r="N30" s="24" t="n">
        <f aca="false">N27-N28+MAX(0,-N26)-N29</f>
        <v>0</v>
      </c>
      <c r="O30" s="24" t="n">
        <f aca="false">O27-O28+MAX(0,-O26)-O29</f>
        <v>0</v>
      </c>
      <c r="P30" s="24" t="n">
        <f aca="false">P27-P28+MAX(0,-P26)-P29</f>
        <v>0</v>
      </c>
      <c r="Q30" s="24" t="n">
        <f aca="false">Q27-Q28+MAX(0,-Q26)-Q29</f>
        <v>0</v>
      </c>
      <c r="R30" s="24" t="n">
        <f aca="false">R27-R28+MAX(0,-R26)-R29</f>
        <v>0</v>
      </c>
      <c r="S30" s="24" t="n">
        <f aca="false">S27-S28+MAX(0,-S26)-S29</f>
        <v>0</v>
      </c>
      <c r="T30" s="24" t="n">
        <f aca="false">T27-T28+MAX(0,-T26)-T29</f>
        <v>0</v>
      </c>
      <c r="U30" s="1"/>
      <c r="V30" s="1"/>
    </row>
    <row r="31" customFormat="false" ht="15" hidden="false" customHeight="false" outlineLevel="0" collapsed="false">
      <c r="A31" s="1"/>
      <c r="B31" s="6" t="s">
        <v>415</v>
      </c>
      <c r="C31" s="1"/>
      <c r="D31" s="24" t="n">
        <f aca="false">(MAX(0,D26)-D28-D29)*RyanNJ</f>
        <v>5840.72307</v>
      </c>
      <c r="E31" s="24" t="n">
        <f aca="false">(MAX(0,E26)-E28-E29)*RyanNJ</f>
        <v>7679.53801766667</v>
      </c>
      <c r="F31" s="24" t="n">
        <f aca="false">(MAX(0,F26)-F28-F29)*RyanNJ</f>
        <v>8146.53725209567</v>
      </c>
      <c r="G31" s="24" t="n">
        <f aca="false">(MAX(0,G26)-G28-G29)*RyanNJ</f>
        <v>1883.42860820676</v>
      </c>
      <c r="H31" s="24" t="n">
        <f aca="false">(MAX(0,H26)-H28-H29)*RyanNJ</f>
        <v>2118.96685374957</v>
      </c>
      <c r="I31" s="24" t="n">
        <f aca="false">(MAX(0,I26)-I28-I29)*RyanNJ</f>
        <v>5724.95121738806</v>
      </c>
      <c r="J31" s="24" t="n">
        <f aca="false">(MAX(0,J26)-J28-J29)*RyanNJ</f>
        <v>8048.61628528432</v>
      </c>
      <c r="K31" s="24" t="n">
        <f aca="false">(MAX(0,K26)-K28-K29)*RyanNJ</f>
        <v>8318.50843410331</v>
      </c>
      <c r="L31" s="24" t="n">
        <f aca="false">(MAX(0,L26)-L28-L29)*RyanNJ</f>
        <v>10038.2120050438</v>
      </c>
      <c r="M31" s="24" t="n">
        <f aca="false">(MAX(0,M26)-M28-M29)*RyanNJ</f>
        <v>11761.0135140251</v>
      </c>
      <c r="N31" s="24" t="n">
        <f aca="false">(MAX(0,N26)-N28-N29)*RyanNJ</f>
        <v>7750.57049978068</v>
      </c>
      <c r="O31" s="24" t="n">
        <f aca="false">(MAX(0,O26)-O28-O29)*RyanNJ</f>
        <v>9241.2806107476</v>
      </c>
      <c r="P31" s="24" t="n">
        <f aca="false">(MAX(0,P26)-P28-P29)*RyanNJ</f>
        <v>11326.2602179876</v>
      </c>
      <c r="Q31" s="24" t="n">
        <f aca="false">(MAX(0,Q26)-Q28-Q29)*RyanNJ</f>
        <v>12728.0488869363</v>
      </c>
      <c r="R31" s="24" t="n">
        <f aca="false">(MAX(0,R26)-R28-R29)*RyanNJ</f>
        <v>13101.5069541368</v>
      </c>
      <c r="S31" s="24" t="n">
        <f aca="false">(MAX(0,S26)-S28-S29)*RyanNJ</f>
        <v>15947.2297442493</v>
      </c>
      <c r="T31" s="24" t="n">
        <f aca="false">(MAX(0,T26)-T28-T29)*RyanNJ</f>
        <v>17165.5190688407</v>
      </c>
      <c r="U31" s="34" t="n">
        <f aca="false">SUM(D31:T31)</f>
        <v>156820.911240242</v>
      </c>
      <c r="V31" s="1"/>
    </row>
    <row r="32" customFormat="false" ht="15" hidden="false" customHeight="false" outlineLevel="0" collapsed="false">
      <c r="A32" s="1"/>
      <c r="B32" s="9" t="s">
        <v>416</v>
      </c>
      <c r="C32" s="1"/>
      <c r="D32" s="34" t="n">
        <f aca="false">D25+D18+D31</f>
        <v>17890.2009445523</v>
      </c>
      <c r="E32" s="34" t="n">
        <f aca="false">E25+E18+E31</f>
        <v>48355.5499986134</v>
      </c>
      <c r="F32" s="34" t="n">
        <f aca="false">F25+F18+F31</f>
        <v>49691.778918386</v>
      </c>
      <c r="G32" s="34" t="n">
        <f aca="false">G25+G18+G31</f>
        <v>-9116.57139179324</v>
      </c>
      <c r="H32" s="34" t="n">
        <f aca="false">H25+H18+H31</f>
        <v>25450.2594915114</v>
      </c>
      <c r="I32" s="34" t="n">
        <f aca="false">I25+I18+I31</f>
        <v>33702.397595081</v>
      </c>
      <c r="J32" s="34" t="n">
        <f aca="false">J25+J18+J31</f>
        <v>60922.6980918256</v>
      </c>
      <c r="K32" s="34" t="n">
        <f aca="false">K25+K18+K31</f>
        <v>62484.2656605443</v>
      </c>
      <c r="L32" s="34" t="n">
        <f aca="false">L25+L18+L31</f>
        <v>65511.2151171779</v>
      </c>
      <c r="M32" s="34" t="n">
        <f aca="false">M25+M18+M31</f>
        <v>68556.0889172787</v>
      </c>
      <c r="N32" s="34" t="n">
        <f aca="false">N25+N18+N31</f>
        <v>-2374.60402615736</v>
      </c>
      <c r="O32" s="34" t="n">
        <f aca="false">O25+O18+O31</f>
        <v>74630.1061409324</v>
      </c>
      <c r="P32" s="34" t="n">
        <f aca="false">P25+P18+P31</f>
        <v>78432.4080714539</v>
      </c>
      <c r="Q32" s="34" t="n">
        <f aca="false">Q25+Q18+Q31</f>
        <v>81586.3073930205</v>
      </c>
      <c r="R32" s="34" t="n">
        <f aca="false">R25+R18+R31</f>
        <v>83747.0964658729</v>
      </c>
      <c r="S32" s="34" t="n">
        <f aca="false">S25+S18+S31</f>
        <v>96240.5709984103</v>
      </c>
      <c r="T32" s="34" t="n">
        <f aca="false">T25+T18+T31</f>
        <v>99317.8867759568</v>
      </c>
      <c r="U32" s="34" t="n">
        <f aca="false">SUM(D32:T32)</f>
        <v>935027.655162667</v>
      </c>
      <c r="V32" s="1"/>
    </row>
    <row r="33" customFormat="false" ht="15" hidden="false" customHeight="false" outlineLevel="0" collapsed="false">
      <c r="A33" s="1"/>
      <c r="B33" s="9" t="s">
        <v>417</v>
      </c>
      <c r="C33" s="25" t="n">
        <f aca="false">C13</f>
        <v>-480000</v>
      </c>
      <c r="D33" s="34" t="n">
        <f aca="false">D13+D8-D32-D14*ExitTax</f>
        <v>132300.899055448</v>
      </c>
      <c r="E33" s="34" t="n">
        <f aca="false">E13+E8-E32-E14*ExitTax</f>
        <v>110735.680001387</v>
      </c>
      <c r="F33" s="34" t="n">
        <f aca="false">F13+F8-F32-F14*ExitTax</f>
        <v>112250.679251614</v>
      </c>
      <c r="G33" s="34" t="n">
        <f aca="false">G13+G8-G32-G14*ExitTax</f>
        <v>-245352.552551157</v>
      </c>
      <c r="H33" s="34" t="n">
        <f aca="false">H13+H8-H32-H14*ExitTax</f>
        <v>165340.509766971</v>
      </c>
      <c r="I33" s="34" t="n">
        <f aca="false">I13+I8-I32-I14*ExitTax</f>
        <v>161216.971314351</v>
      </c>
      <c r="J33" s="34" t="n">
        <f aca="false">J13+J8-J32-J14*ExitTax</f>
        <v>138180.373303831</v>
      </c>
      <c r="K33" s="34" t="n">
        <f aca="false">K13+K8-K32-K14*ExitTax</f>
        <v>140855.731148283</v>
      </c>
      <c r="L33" s="34" t="n">
        <f aca="false">L13+L8-L32-L14*ExitTax</f>
        <v>142116.781005584</v>
      </c>
      <c r="M33" s="34" t="n">
        <f aca="false">M13+M8-M32-M14*ExitTax</f>
        <v>143408.539769668</v>
      </c>
      <c r="N33" s="34" t="n">
        <f aca="false">N13+N8-N32-N14*ExitTax</f>
        <v>-17982.2498796216</v>
      </c>
      <c r="O33" s="34" t="n">
        <f aca="false">O13+O8-O32-O14*ExitTax</f>
        <v>165523.553432785</v>
      </c>
      <c r="P33" s="34" t="n">
        <f aca="false">P13+P8-P32-P14*ExitTax</f>
        <v>167354.374562453</v>
      </c>
      <c r="Q33" s="34" t="n">
        <f aca="false">Q13+Q8-Q32-Q14*ExitTax</f>
        <v>169947.710216791</v>
      </c>
      <c r="R33" s="34" t="n">
        <f aca="false">R13+R8-R32-R14*ExitTax</f>
        <v>173649.685150226</v>
      </c>
      <c r="S33" s="34" t="n">
        <f aca="false">S13+S8-S32-S14*ExitTax</f>
        <v>167135.887844923</v>
      </c>
      <c r="T33" s="34" t="n">
        <f aca="false">T13+T8-T32-T14*ExitTax</f>
        <v>386228.008555488</v>
      </c>
      <c r="U33" s="34" t="n">
        <f aca="false">SUM(D33:T33)</f>
        <v>2212910.58194902</v>
      </c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4" t="s">
        <v>418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customFormat="false" ht="15" hidden="false" customHeight="false" outlineLevel="0" collapsed="false">
      <c r="A36" s="1"/>
      <c r="B36" s="6" t="s">
        <v>419</v>
      </c>
      <c r="C36" s="1"/>
      <c r="D36" s="24" t="n">
        <f aca="false">D7-D10</f>
        <v>-2699.5666666667</v>
      </c>
      <c r="E36" s="24" t="n">
        <f aca="false">E7-E10</f>
        <v>89722.7233333334</v>
      </c>
      <c r="F36" s="24" t="n">
        <f aca="false">F7-F10</f>
        <v>91044.3871033333</v>
      </c>
      <c r="G36" s="24" t="n">
        <f aca="false">G7-G10</f>
        <v>-326950.294163617</v>
      </c>
      <c r="H36" s="24" t="n">
        <f aca="false">H7-H10</f>
        <v>116671.091413425</v>
      </c>
      <c r="I36" s="24" t="n">
        <f aca="false">I7-I10</f>
        <v>119103.835673132</v>
      </c>
      <c r="J36" s="24" t="n">
        <f aca="false">J7-J10</f>
        <v>121532.327829419</v>
      </c>
      <c r="K36" s="24" t="n">
        <f aca="false">K7-K10</f>
        <v>123952.610551105</v>
      </c>
      <c r="L36" s="24" t="n">
        <f aca="false">L7-L10</f>
        <v>126360.384679353</v>
      </c>
      <c r="M36" s="24" t="n">
        <f aca="false">M7-M10</f>
        <v>128750.984176351</v>
      </c>
      <c r="N36" s="24" t="n">
        <f aca="false">N7-N10</f>
        <v>-105584.642640912</v>
      </c>
      <c r="O36" s="24" t="n">
        <f aca="false">O7-O10</f>
        <v>152841.231566188</v>
      </c>
      <c r="P36" s="24" t="n">
        <f aca="false">P7-P10</f>
        <v>156316.752979447</v>
      </c>
      <c r="Q36" s="24" t="n">
        <f aca="false">Q7-Q10</f>
        <v>159830.870250779</v>
      </c>
      <c r="R36" s="24" t="n">
        <f aca="false">R7-R10</f>
        <v>163382.357432834</v>
      </c>
      <c r="S36" s="24" t="n">
        <f aca="false">S7-S10</f>
        <v>192636.529813654</v>
      </c>
      <c r="T36" s="24" t="n">
        <f aca="false">T7-T10</f>
        <v>196258.570139379</v>
      </c>
      <c r="U36" s="34" t="n">
        <f aca="false">SUM(D36:T36)</f>
        <v>1503170.15347054</v>
      </c>
      <c r="V36" s="1"/>
    </row>
    <row r="37" customFormat="false" ht="15" hidden="false" customHeight="false" outlineLevel="0" collapsed="false">
      <c r="A37" s="1"/>
      <c r="B37" s="6" t="s">
        <v>420</v>
      </c>
      <c r="C37" s="1"/>
      <c r="D37" s="24" t="n">
        <f aca="false">MIN(MAX(0,D36)*QBIRate,MAX(0.5*D9,0.25*D9+0.025*D12))</f>
        <v>0</v>
      </c>
      <c r="E37" s="24" t="n">
        <f aca="false">MIN(MAX(0,E36)*QBIRate,MAX(0.5*E9,0.25*E9+0.025*E12))</f>
        <v>17944.5446666667</v>
      </c>
      <c r="F37" s="24" t="n">
        <f aca="false">MIN(MAX(0,F36)*QBIRate,MAX(0.5*F9,0.25*F9+0.025*F12))</f>
        <v>18208.8774206667</v>
      </c>
      <c r="G37" s="24" t="n">
        <f aca="false">MIN(MAX(0,G36)*QBIRate,MAX(0.5*G9,0.25*G9+0.025*G12))</f>
        <v>0</v>
      </c>
      <c r="H37" s="24" t="n">
        <f aca="false">MIN(MAX(0,H36)*QBIRate,MAX(0.5*H9,0.25*H9+0.025*H12))</f>
        <v>23334.2182826851</v>
      </c>
      <c r="I37" s="24" t="n">
        <f aca="false">MIN(MAX(0,I36)*QBIRate,MAX(0.5*I9,0.25*I9+0.025*I12))</f>
        <v>23820.7671346264</v>
      </c>
      <c r="J37" s="24" t="n">
        <f aca="false">MIN(MAX(0,J36)*QBIRate,MAX(0.5*J9,0.25*J9+0.025*J12))</f>
        <v>24306.4655658838</v>
      </c>
      <c r="K37" s="24" t="n">
        <f aca="false">MIN(MAX(0,K36)*QBIRate,MAX(0.5*K9,0.25*K9+0.025*K12))</f>
        <v>24790.522110221</v>
      </c>
      <c r="L37" s="24" t="n">
        <f aca="false">MIN(MAX(0,L36)*QBIRate,MAX(0.5*L9,0.25*L9+0.025*L12))</f>
        <v>25272.0769358705</v>
      </c>
      <c r="M37" s="24" t="n">
        <f aca="false">MIN(MAX(0,M36)*QBIRate,MAX(0.5*M9,0.25*M9+0.025*M12))</f>
        <v>25750.1968352702</v>
      </c>
      <c r="N37" s="24" t="n">
        <f aca="false">MIN(MAX(0,N36)*QBIRate,MAX(0.5*N9,0.25*N9+0.025*N12))</f>
        <v>0</v>
      </c>
      <c r="O37" s="24" t="n">
        <f aca="false">MIN(MAX(0,O36)*QBIRate,MAX(0.5*O9,0.25*O9+0.025*O12))</f>
        <v>30568.2463132376</v>
      </c>
      <c r="P37" s="24" t="n">
        <f aca="false">MIN(MAX(0,P36)*QBIRate,MAX(0.5*P9,0.25*P9+0.025*P12))</f>
        <v>31263.3505958895</v>
      </c>
      <c r="Q37" s="24" t="n">
        <f aca="false">MIN(MAX(0,Q36)*QBIRate,MAX(0.5*Q9,0.25*Q9+0.025*Q12))</f>
        <v>31966.1740501559</v>
      </c>
      <c r="R37" s="24" t="n">
        <f aca="false">MIN(MAX(0,R36)*QBIRate,MAX(0.5*R9,0.25*R9+0.025*R12))</f>
        <v>32676.4714865669</v>
      </c>
      <c r="S37" s="24" t="n">
        <f aca="false">MIN(MAX(0,S36)*QBIRate,MAX(0.5*S9,0.25*S9+0.025*S12))</f>
        <v>38527.3059627308</v>
      </c>
      <c r="T37" s="24" t="n">
        <f aca="false">MIN(MAX(0,T36)*QBIRate,MAX(0.5*T9,0.25*T9+0.025*T12))</f>
        <v>39251.7140278758</v>
      </c>
      <c r="U37" s="34" t="n">
        <f aca="false">SUM(D37:T37)</f>
        <v>387680.931388347</v>
      </c>
      <c r="V37" s="1"/>
    </row>
    <row r="38" customFormat="false" ht="15" hidden="false" customHeight="false" outlineLevel="0" collapsed="false">
      <c r="A38" s="1"/>
      <c r="B38" s="6" t="s">
        <v>404</v>
      </c>
      <c r="C38" s="1"/>
      <c r="D38" s="24" t="n">
        <f aca="false">D36-D37</f>
        <v>-2699.5666666667</v>
      </c>
      <c r="E38" s="24" t="n">
        <f aca="false">E36-E37</f>
        <v>71778.1786666667</v>
      </c>
      <c r="F38" s="24" t="n">
        <f aca="false">F36-F37</f>
        <v>72835.5096826667</v>
      </c>
      <c r="G38" s="24" t="n">
        <f aca="false">G36-G37</f>
        <v>-326950.294163617</v>
      </c>
      <c r="H38" s="24" t="n">
        <f aca="false">H36-H37</f>
        <v>93336.8731307403</v>
      </c>
      <c r="I38" s="24" t="n">
        <f aca="false">I36-I37</f>
        <v>95283.0685385056</v>
      </c>
      <c r="J38" s="24" t="n">
        <f aca="false">J36-J37</f>
        <v>97225.8622635352</v>
      </c>
      <c r="K38" s="24" t="n">
        <f aca="false">K36-K37</f>
        <v>99162.0884408839</v>
      </c>
      <c r="L38" s="24" t="n">
        <f aca="false">L36-L37</f>
        <v>101088.307743482</v>
      </c>
      <c r="M38" s="24" t="n">
        <f aca="false">M36-M37</f>
        <v>103000.787341081</v>
      </c>
      <c r="N38" s="24" t="n">
        <f aca="false">N36-N37</f>
        <v>-105584.642640912</v>
      </c>
      <c r="O38" s="24" t="n">
        <f aca="false">O36-O37</f>
        <v>122272.98525295</v>
      </c>
      <c r="P38" s="24" t="n">
        <f aca="false">P36-P37</f>
        <v>125053.402383558</v>
      </c>
      <c r="Q38" s="24" t="n">
        <f aca="false">Q36-Q37</f>
        <v>127864.696200624</v>
      </c>
      <c r="R38" s="24" t="n">
        <f aca="false">R36-R37</f>
        <v>130705.885946268</v>
      </c>
      <c r="S38" s="24" t="n">
        <f aca="false">S36-S37</f>
        <v>154109.223850923</v>
      </c>
      <c r="T38" s="24" t="n">
        <f aca="false">T36-T37</f>
        <v>157006.856111503</v>
      </c>
      <c r="U38" s="34" t="n">
        <f aca="false">SUM(D38:T38)</f>
        <v>1115489.22208219</v>
      </c>
      <c r="V38" s="1"/>
    </row>
    <row r="39" customFormat="false" ht="15" hidden="false" customHeight="false" outlineLevel="0" collapsed="false">
      <c r="A39" s="1"/>
      <c r="B39" s="6" t="s">
        <v>421</v>
      </c>
      <c r="C39" s="1"/>
      <c r="D39" s="24" t="n">
        <f aca="false">0</f>
        <v>0</v>
      </c>
      <c r="E39" s="24" t="n">
        <f aca="false">D42</f>
        <v>2699.5666666667</v>
      </c>
      <c r="F39" s="24" t="n">
        <f aca="false">E42</f>
        <v>0</v>
      </c>
      <c r="G39" s="24" t="n">
        <f aca="false">F42</f>
        <v>0</v>
      </c>
      <c r="H39" s="24" t="n">
        <f aca="false">G42</f>
        <v>326950.294163617</v>
      </c>
      <c r="I39" s="24" t="n">
        <f aca="false">H42</f>
        <v>233613.421032876</v>
      </c>
      <c r="J39" s="24" t="n">
        <f aca="false">I42</f>
        <v>138330.352494371</v>
      </c>
      <c r="K39" s="24" t="n">
        <f aca="false">J42</f>
        <v>41104.4902308356</v>
      </c>
      <c r="L39" s="24" t="n">
        <f aca="false">K42</f>
        <v>0</v>
      </c>
      <c r="M39" s="24" t="n">
        <f aca="false">L42</f>
        <v>0</v>
      </c>
      <c r="N39" s="24" t="n">
        <f aca="false">M42</f>
        <v>0</v>
      </c>
      <c r="O39" s="24" t="n">
        <f aca="false">N42</f>
        <v>105584.642640912</v>
      </c>
      <c r="P39" s="24" t="n">
        <f aca="false">O42</f>
        <v>0</v>
      </c>
      <c r="Q39" s="24" t="n">
        <f aca="false">P42</f>
        <v>0</v>
      </c>
      <c r="R39" s="24" t="n">
        <f aca="false">Q42</f>
        <v>0</v>
      </c>
      <c r="S39" s="24" t="n">
        <f aca="false">R42</f>
        <v>0</v>
      </c>
      <c r="T39" s="24" t="n">
        <f aca="false">S42</f>
        <v>0</v>
      </c>
      <c r="U39" s="1"/>
      <c r="V39" s="1"/>
    </row>
    <row r="40" customFormat="false" ht="15" hidden="false" customHeight="false" outlineLevel="0" collapsed="false">
      <c r="A40" s="1"/>
      <c r="B40" s="6" t="s">
        <v>422</v>
      </c>
      <c r="C40" s="1"/>
      <c r="D40" s="24" t="n">
        <f aca="false">MIN(D39,MAX(0,D38))</f>
        <v>0</v>
      </c>
      <c r="E40" s="24" t="n">
        <f aca="false">MIN(E39,MAX(0,E38))</f>
        <v>2699.5666666667</v>
      </c>
      <c r="F40" s="24" t="n">
        <f aca="false">MIN(F39,MAX(0,F38))</f>
        <v>0</v>
      </c>
      <c r="G40" s="24" t="n">
        <f aca="false">MIN(G39,MAX(0,G38))</f>
        <v>0</v>
      </c>
      <c r="H40" s="24" t="n">
        <f aca="false">MIN(H39,MAX(0,H38))</f>
        <v>93336.8731307403</v>
      </c>
      <c r="I40" s="24" t="n">
        <f aca="false">MIN(I39,MAX(0,I38))</f>
        <v>95283.0685385056</v>
      </c>
      <c r="J40" s="24" t="n">
        <f aca="false">MIN(J39,MAX(0,J38))</f>
        <v>97225.8622635352</v>
      </c>
      <c r="K40" s="24" t="n">
        <f aca="false">MIN(K39,MAX(0,K38))</f>
        <v>41104.4902308356</v>
      </c>
      <c r="L40" s="24" t="n">
        <f aca="false">MIN(L39,MAX(0,L38))</f>
        <v>0</v>
      </c>
      <c r="M40" s="24" t="n">
        <f aca="false">MIN(M39,MAX(0,M38))</f>
        <v>0</v>
      </c>
      <c r="N40" s="24" t="n">
        <f aca="false">MIN(N39,MAX(0,N38))</f>
        <v>0</v>
      </c>
      <c r="O40" s="24" t="n">
        <f aca="false">MIN(O39,MAX(0,O38))</f>
        <v>105584.642640912</v>
      </c>
      <c r="P40" s="24" t="n">
        <f aca="false">MIN(P39,MAX(0,P38))</f>
        <v>0</v>
      </c>
      <c r="Q40" s="24" t="n">
        <f aca="false">MIN(Q39,MAX(0,Q38))</f>
        <v>0</v>
      </c>
      <c r="R40" s="24" t="n">
        <f aca="false">MIN(R39,MAX(0,R38))</f>
        <v>0</v>
      </c>
      <c r="S40" s="24" t="n">
        <f aca="false">MIN(S39,MAX(0,S38))</f>
        <v>0</v>
      </c>
      <c r="T40" s="24" t="n">
        <f aca="false">MIN(T39,MAX(0,T38))</f>
        <v>0</v>
      </c>
      <c r="U40" s="34" t="n">
        <f aca="false">SUM(D40:T40)</f>
        <v>435234.503471195</v>
      </c>
      <c r="V40" s="1"/>
    </row>
    <row r="41" customFormat="false" ht="15" hidden="false" customHeight="false" outlineLevel="0" collapsed="false">
      <c r="A41" s="1"/>
      <c r="B41" s="6" t="s">
        <v>423</v>
      </c>
      <c r="C41" s="1"/>
      <c r="D41" s="24" t="n">
        <f aca="false">IF(D38&lt;0,MIN(-D38,0),0)</f>
        <v>0</v>
      </c>
      <c r="E41" s="24" t="n">
        <f aca="false">IF(E38&lt;0,MIN(-E38,0),0)</f>
        <v>0</v>
      </c>
      <c r="F41" s="24" t="n">
        <f aca="false">IF(F38&lt;0,MIN(-F38,0),0)</f>
        <v>0</v>
      </c>
      <c r="G41" s="24" t="n">
        <f aca="false">IF(G38&lt;0,MIN(-G38,0),0)</f>
        <v>0</v>
      </c>
      <c r="H41" s="24" t="n">
        <f aca="false">IF(H38&lt;0,MIN(-H38,0),0)</f>
        <v>0</v>
      </c>
      <c r="I41" s="24" t="n">
        <f aca="false">IF(I38&lt;0,MIN(-I38,0),0)</f>
        <v>0</v>
      </c>
      <c r="J41" s="24" t="n">
        <f aca="false">IF(J38&lt;0,MIN(-J38,0),0)</f>
        <v>0</v>
      </c>
      <c r="K41" s="24" t="n">
        <f aca="false">IF(K38&lt;0,MIN(-K38,0),0)</f>
        <v>0</v>
      </c>
      <c r="L41" s="24" t="n">
        <f aca="false">IF(L38&lt;0,MIN(-L38,0),0)</f>
        <v>0</v>
      </c>
      <c r="M41" s="24" t="n">
        <f aca="false">IF(M38&lt;0,MIN(-M38,0),0)</f>
        <v>0</v>
      </c>
      <c r="N41" s="24" t="n">
        <f aca="false">IF(N38&lt;0,MIN(-N38,0),0)</f>
        <v>0</v>
      </c>
      <c r="O41" s="24" t="n">
        <f aca="false">IF(O38&lt;0,MIN(-O38,0),0)</f>
        <v>0</v>
      </c>
      <c r="P41" s="24" t="n">
        <f aca="false">IF(P38&lt;0,MIN(-P38,0),0)</f>
        <v>0</v>
      </c>
      <c r="Q41" s="24" t="n">
        <f aca="false">IF(Q38&lt;0,MIN(-Q38,0),0)</f>
        <v>0</v>
      </c>
      <c r="R41" s="24" t="n">
        <f aca="false">IF(R38&lt;0,MIN(-R38,0),0)</f>
        <v>0</v>
      </c>
      <c r="S41" s="24" t="n">
        <f aca="false">IF(S38&lt;0,MIN(-S38,0),0)</f>
        <v>0</v>
      </c>
      <c r="T41" s="24" t="n">
        <f aca="false">IF(T38&lt;0,MIN(-T38,0),0)</f>
        <v>0</v>
      </c>
      <c r="U41" s="34" t="n">
        <f aca="false">SUM(D41:T41)</f>
        <v>0</v>
      </c>
      <c r="V41" s="1"/>
    </row>
    <row r="42" customFormat="false" ht="15" hidden="false" customHeight="false" outlineLevel="0" collapsed="false">
      <c r="A42" s="1"/>
      <c r="B42" s="6" t="s">
        <v>424</v>
      </c>
      <c r="C42" s="1"/>
      <c r="D42" s="24" t="n">
        <f aca="false">D39-D40+MAX(0,-D38)-D41</f>
        <v>2699.5666666667</v>
      </c>
      <c r="E42" s="24" t="n">
        <f aca="false">E39-E40+MAX(0,-E38)-E41</f>
        <v>0</v>
      </c>
      <c r="F42" s="24" t="n">
        <f aca="false">F39-F40+MAX(0,-F38)-F41</f>
        <v>0</v>
      </c>
      <c r="G42" s="24" t="n">
        <f aca="false">G39-G40+MAX(0,-G38)-G41</f>
        <v>326950.294163617</v>
      </c>
      <c r="H42" s="24" t="n">
        <f aca="false">H39-H40+MAX(0,-H38)-H41</f>
        <v>233613.421032876</v>
      </c>
      <c r="I42" s="24" t="n">
        <f aca="false">I39-I40+MAX(0,-I38)-I41</f>
        <v>138330.352494371</v>
      </c>
      <c r="J42" s="24" t="n">
        <f aca="false">J39-J40+MAX(0,-J38)-J41</f>
        <v>41104.4902308356</v>
      </c>
      <c r="K42" s="24" t="n">
        <f aca="false">K39-K40+MAX(0,-K38)-K41</f>
        <v>0</v>
      </c>
      <c r="L42" s="24" t="n">
        <f aca="false">L39-L40+MAX(0,-L38)-L41</f>
        <v>0</v>
      </c>
      <c r="M42" s="24" t="n">
        <f aca="false">M39-M40+MAX(0,-M38)-M41</f>
        <v>0</v>
      </c>
      <c r="N42" s="24" t="n">
        <f aca="false">N39-N40+MAX(0,-N38)-N41</f>
        <v>105584.642640912</v>
      </c>
      <c r="O42" s="24" t="n">
        <f aca="false">O39-O40+MAX(0,-O38)-O41</f>
        <v>0</v>
      </c>
      <c r="P42" s="24" t="n">
        <f aca="false">P39-P40+MAX(0,-P38)-P41</f>
        <v>0</v>
      </c>
      <c r="Q42" s="24" t="n">
        <f aca="false">Q39-Q40+MAX(0,-Q38)-Q41</f>
        <v>0</v>
      </c>
      <c r="R42" s="24" t="n">
        <f aca="false">R39-R40+MAX(0,-R38)-R41</f>
        <v>0</v>
      </c>
      <c r="S42" s="24" t="n">
        <f aca="false">S39-S40+MAX(0,-S38)-S41</f>
        <v>0</v>
      </c>
      <c r="T42" s="24" t="n">
        <f aca="false">T39-T40+MAX(0,-T38)-T41</f>
        <v>0</v>
      </c>
      <c r="U42" s="1"/>
      <c r="V42" s="1"/>
    </row>
    <row r="43" customFormat="false" ht="15" hidden="false" customHeight="false" outlineLevel="0" collapsed="false">
      <c r="A43" s="1"/>
      <c r="B43" s="6" t="s">
        <v>425</v>
      </c>
      <c r="C43" s="1"/>
      <c r="D43" s="24" t="n">
        <f aca="false">(MAX(0,D38)-D40-D41)*(ParentFed+NIIT)</f>
        <v>0</v>
      </c>
      <c r="E43" s="24" t="n">
        <f aca="false">(MAX(0,E38)-E40-E41)*(ParentFed+NIIT)</f>
        <v>28184.073696</v>
      </c>
      <c r="F43" s="24" t="n">
        <f aca="false">(MAX(0,F38)-F40-F41)*(ParentFed+NIIT)</f>
        <v>29716.887950528</v>
      </c>
      <c r="G43" s="24" t="n">
        <f aca="false">(MAX(0,G38)-G40-G41)*(ParentFed+NIIT)</f>
        <v>0</v>
      </c>
      <c r="H43" s="24" t="n">
        <f aca="false">(MAX(0,H38)-H40-H41)*(ParentFed+NIIT)</f>
        <v>0</v>
      </c>
      <c r="I43" s="24" t="n">
        <f aca="false">(MAX(0,I38)-I40-I41)*(ParentFed+NIIT)</f>
        <v>0</v>
      </c>
      <c r="J43" s="24" t="n">
        <f aca="false">(MAX(0,J38)-J40-J41)*(ParentFed+NIIT)</f>
        <v>0</v>
      </c>
      <c r="K43" s="24" t="n">
        <f aca="false">(MAX(0,K38)-K40-K41)*(ParentFed+NIIT)</f>
        <v>23687.5000696997</v>
      </c>
      <c r="L43" s="24" t="n">
        <f aca="false">(MAX(0,L38)-L40-L41)*(ParentFed+NIIT)</f>
        <v>41244.0295593407</v>
      </c>
      <c r="M43" s="24" t="n">
        <f aca="false">(MAX(0,M38)-M40-M41)*(ParentFed+NIIT)</f>
        <v>42024.3212351609</v>
      </c>
      <c r="N43" s="24" t="n">
        <f aca="false">(MAX(0,N38)-N40-N41)*(ParentFed+NIIT)</f>
        <v>0</v>
      </c>
      <c r="O43" s="24" t="n">
        <f aca="false">(MAX(0,O38)-O40-O41)*(ParentFed+NIIT)</f>
        <v>6808.84378571173</v>
      </c>
      <c r="P43" s="24" t="n">
        <f aca="false">(MAX(0,P38)-P40-P41)*(ParentFed+NIIT)</f>
        <v>51021.7881724916</v>
      </c>
      <c r="Q43" s="24" t="n">
        <f aca="false">(MAX(0,Q38)-Q40-Q41)*(ParentFed+NIIT)</f>
        <v>52168.7960498544</v>
      </c>
      <c r="R43" s="24" t="n">
        <f aca="false">(MAX(0,R38)-R40-R41)*(ParentFed+NIIT)</f>
        <v>53328.0014660772</v>
      </c>
      <c r="S43" s="24" t="n">
        <f aca="false">(MAX(0,S38)-S40-S41)*(ParentFed+NIIT)</f>
        <v>62876.5633311767</v>
      </c>
      <c r="T43" s="24" t="n">
        <f aca="false">(MAX(0,T38)-T40-T41)*(ParentFed+NIIT)</f>
        <v>64058.7972934933</v>
      </c>
      <c r="U43" s="34" t="n">
        <f aca="false">SUM(D43:T43)</f>
        <v>455119.602609534</v>
      </c>
      <c r="V43" s="1"/>
    </row>
    <row r="44" customFormat="false" ht="15" hidden="false" customHeight="false" outlineLevel="0" collapsed="false">
      <c r="A44" s="1"/>
      <c r="B44" s="6" t="s">
        <v>426</v>
      </c>
      <c r="C44" s="1"/>
      <c r="D44" s="24" t="n">
        <f aca="false">D7-D11</f>
        <v>49467.1</v>
      </c>
      <c r="E44" s="24" t="n">
        <f aca="false">E7-E11</f>
        <v>76856.0566666667</v>
      </c>
      <c r="F44" s="24" t="n">
        <f aca="false">F7-F11</f>
        <v>82657.7204366667</v>
      </c>
      <c r="G44" s="24" t="n">
        <f aca="false">G7-G11</f>
        <v>-17247.3354502833</v>
      </c>
      <c r="H44" s="24" t="n">
        <f aca="false">H7-H11</f>
        <v>-15188.2254052413</v>
      </c>
      <c r="I44" s="24" t="n">
        <f aca="false">I7-I11</f>
        <v>39724.7789152653</v>
      </c>
      <c r="J44" s="24" t="n">
        <f aca="false">J7-J11</f>
        <v>74447.8271080323</v>
      </c>
      <c r="K44" s="24" t="n">
        <f aca="false">K7-K11</f>
        <v>76868.1098297182</v>
      </c>
      <c r="L44" s="24" t="n">
        <f aca="false">L7-L11</f>
        <v>101984.800985326</v>
      </c>
      <c r="M44" s="24" t="n">
        <f aca="false">M7-M11</f>
        <v>127084.317509684</v>
      </c>
      <c r="N44" s="24" t="n">
        <f aca="false">N7-N11</f>
        <v>62111.8842075257</v>
      </c>
      <c r="O44" s="24" t="n">
        <f aca="false">O7-O11</f>
        <v>83429.2874934796</v>
      </c>
      <c r="P44" s="24" t="n">
        <f aca="false">P7-P11</f>
        <v>114002.919869156</v>
      </c>
      <c r="Q44" s="24" t="n">
        <f aca="false">Q7-Q11</f>
        <v>133775.903717938</v>
      </c>
      <c r="R44" s="24" t="n">
        <f aca="false">R7-R11</f>
        <v>137327.390899993</v>
      </c>
      <c r="S44" s="24" t="n">
        <f aca="false">S7-S11</f>
        <v>179609.046547233</v>
      </c>
      <c r="T44" s="24" t="n">
        <f aca="false">T7-T11</f>
        <v>196258.570139379</v>
      </c>
      <c r="U44" s="34" t="n">
        <f aca="false">SUM(D44:T44)</f>
        <v>1503170.15347054</v>
      </c>
      <c r="V44" s="1"/>
    </row>
    <row r="45" customFormat="false" ht="15" hidden="false" customHeight="false" outlineLevel="0" collapsed="false">
      <c r="A45" s="1"/>
      <c r="B45" s="6" t="s">
        <v>411</v>
      </c>
      <c r="C45" s="1"/>
      <c r="D45" s="24" t="n">
        <f aca="false">0</f>
        <v>0</v>
      </c>
      <c r="E45" s="24" t="n">
        <f aca="false">D48</f>
        <v>0</v>
      </c>
      <c r="F45" s="24" t="n">
        <f aca="false">E48</f>
        <v>0</v>
      </c>
      <c r="G45" s="24" t="n">
        <f aca="false">F48</f>
        <v>0</v>
      </c>
      <c r="H45" s="24" t="n">
        <f aca="false">G48</f>
        <v>17247.3354502833</v>
      </c>
      <c r="I45" s="24" t="n">
        <f aca="false">H48</f>
        <v>32435.5608555246</v>
      </c>
      <c r="J45" s="24" t="n">
        <f aca="false">I48</f>
        <v>0</v>
      </c>
      <c r="K45" s="24" t="n">
        <f aca="false">J48</f>
        <v>0</v>
      </c>
      <c r="L45" s="24" t="n">
        <f aca="false">K48</f>
        <v>0</v>
      </c>
      <c r="M45" s="24" t="n">
        <f aca="false">L48</f>
        <v>0</v>
      </c>
      <c r="N45" s="24" t="n">
        <f aca="false">M48</f>
        <v>0</v>
      </c>
      <c r="O45" s="24" t="n">
        <f aca="false">N48</f>
        <v>0</v>
      </c>
      <c r="P45" s="24" t="n">
        <f aca="false">O48</f>
        <v>0</v>
      </c>
      <c r="Q45" s="24" t="n">
        <f aca="false">P48</f>
        <v>0</v>
      </c>
      <c r="R45" s="24" t="n">
        <f aca="false">Q48</f>
        <v>0</v>
      </c>
      <c r="S45" s="24" t="n">
        <f aca="false">R48</f>
        <v>0</v>
      </c>
      <c r="T45" s="24" t="n">
        <f aca="false">S48</f>
        <v>0</v>
      </c>
      <c r="U45" s="1"/>
      <c r="V45" s="1"/>
    </row>
    <row r="46" customFormat="false" ht="15" hidden="false" customHeight="false" outlineLevel="0" collapsed="false">
      <c r="A46" s="1"/>
      <c r="B46" s="6" t="s">
        <v>412</v>
      </c>
      <c r="C46" s="1"/>
      <c r="D46" s="24" t="n">
        <f aca="false">MIN(D45,MAX(0,D44))</f>
        <v>0</v>
      </c>
      <c r="E46" s="24" t="n">
        <f aca="false">MIN(E45,MAX(0,E44))</f>
        <v>0</v>
      </c>
      <c r="F46" s="24" t="n">
        <f aca="false">MIN(F45,MAX(0,F44))</f>
        <v>0</v>
      </c>
      <c r="G46" s="24" t="n">
        <f aca="false">MIN(G45,MAX(0,G44))</f>
        <v>0</v>
      </c>
      <c r="H46" s="24" t="n">
        <f aca="false">MIN(H45,MAX(0,H44))</f>
        <v>0</v>
      </c>
      <c r="I46" s="24" t="n">
        <f aca="false">MIN(I45,MAX(0,I44))</f>
        <v>32435.5608555246</v>
      </c>
      <c r="J46" s="24" t="n">
        <f aca="false">MIN(J45,MAX(0,J44))</f>
        <v>0</v>
      </c>
      <c r="K46" s="24" t="n">
        <f aca="false">MIN(K45,MAX(0,K44))</f>
        <v>0</v>
      </c>
      <c r="L46" s="24" t="n">
        <f aca="false">MIN(L45,MAX(0,L44))</f>
        <v>0</v>
      </c>
      <c r="M46" s="24" t="n">
        <f aca="false">MIN(M45,MAX(0,M44))</f>
        <v>0</v>
      </c>
      <c r="N46" s="24" t="n">
        <f aca="false">MIN(N45,MAX(0,N44))</f>
        <v>0</v>
      </c>
      <c r="O46" s="24" t="n">
        <f aca="false">MIN(O45,MAX(0,O44))</f>
        <v>0</v>
      </c>
      <c r="P46" s="24" t="n">
        <f aca="false">MIN(P45,MAX(0,P44))</f>
        <v>0</v>
      </c>
      <c r="Q46" s="24" t="n">
        <f aca="false">MIN(Q45,MAX(0,Q44))</f>
        <v>0</v>
      </c>
      <c r="R46" s="24" t="n">
        <f aca="false">MIN(R45,MAX(0,R44))</f>
        <v>0</v>
      </c>
      <c r="S46" s="24" t="n">
        <f aca="false">MIN(S45,MAX(0,S44))</f>
        <v>0</v>
      </c>
      <c r="T46" s="24" t="n">
        <f aca="false">MIN(T45,MAX(0,T44))</f>
        <v>0</v>
      </c>
      <c r="U46" s="34" t="n">
        <f aca="false">SUM(D46:T46)</f>
        <v>32435.5608555246</v>
      </c>
      <c r="V46" s="1"/>
    </row>
    <row r="47" customFormat="false" ht="15" hidden="false" customHeight="false" outlineLevel="0" collapsed="false">
      <c r="A47" s="1"/>
      <c r="B47" s="6" t="s">
        <v>413</v>
      </c>
      <c r="C47" s="1"/>
      <c r="D47" s="24" t="n">
        <f aca="false">IF(D44&lt;0,MIN(-D44,0),0)</f>
        <v>0</v>
      </c>
      <c r="E47" s="24" t="n">
        <f aca="false">IF(E44&lt;0,MIN(-E44,0),0)</f>
        <v>0</v>
      </c>
      <c r="F47" s="24" t="n">
        <f aca="false">IF(F44&lt;0,MIN(-F44,0),0)</f>
        <v>0</v>
      </c>
      <c r="G47" s="24" t="n">
        <f aca="false">IF(G44&lt;0,MIN(-G44,0),0)</f>
        <v>0</v>
      </c>
      <c r="H47" s="24" t="n">
        <f aca="false">IF(H44&lt;0,MIN(-H44,0),0)</f>
        <v>0</v>
      </c>
      <c r="I47" s="24" t="n">
        <f aca="false">IF(I44&lt;0,MIN(-I44,0),0)</f>
        <v>0</v>
      </c>
      <c r="J47" s="24" t="n">
        <f aca="false">IF(J44&lt;0,MIN(-J44,0),0)</f>
        <v>0</v>
      </c>
      <c r="K47" s="24" t="n">
        <f aca="false">IF(K44&lt;0,MIN(-K44,0),0)</f>
        <v>0</v>
      </c>
      <c r="L47" s="24" t="n">
        <f aca="false">IF(L44&lt;0,MIN(-L44,0),0)</f>
        <v>0</v>
      </c>
      <c r="M47" s="24" t="n">
        <f aca="false">IF(M44&lt;0,MIN(-M44,0),0)</f>
        <v>0</v>
      </c>
      <c r="N47" s="24" t="n">
        <f aca="false">IF(N44&lt;0,MIN(-N44,0),0)</f>
        <v>0</v>
      </c>
      <c r="O47" s="24" t="n">
        <f aca="false">IF(O44&lt;0,MIN(-O44,0),0)</f>
        <v>0</v>
      </c>
      <c r="P47" s="24" t="n">
        <f aca="false">IF(P44&lt;0,MIN(-P44,0),0)</f>
        <v>0</v>
      </c>
      <c r="Q47" s="24" t="n">
        <f aca="false">IF(Q44&lt;0,MIN(-Q44,0),0)</f>
        <v>0</v>
      </c>
      <c r="R47" s="24" t="n">
        <f aca="false">IF(R44&lt;0,MIN(-R44,0),0)</f>
        <v>0</v>
      </c>
      <c r="S47" s="24" t="n">
        <f aca="false">IF(S44&lt;0,MIN(-S44,0),0)</f>
        <v>0</v>
      </c>
      <c r="T47" s="24" t="n">
        <f aca="false">IF(T44&lt;0,MIN(-T44,0),0)</f>
        <v>0</v>
      </c>
      <c r="U47" s="34" t="n">
        <f aca="false">SUM(D47:T47)</f>
        <v>0</v>
      </c>
      <c r="V47" s="1"/>
    </row>
    <row r="48" customFormat="false" ht="15" hidden="false" customHeight="false" outlineLevel="0" collapsed="false">
      <c r="A48" s="1"/>
      <c r="B48" s="6" t="s">
        <v>414</v>
      </c>
      <c r="C48" s="1"/>
      <c r="D48" s="24" t="n">
        <f aca="false">D45-D46+MAX(0,-D44)-D47</f>
        <v>0</v>
      </c>
      <c r="E48" s="24" t="n">
        <f aca="false">E45-E46+MAX(0,-E44)-E47</f>
        <v>0</v>
      </c>
      <c r="F48" s="24" t="n">
        <f aca="false">F45-F46+MAX(0,-F44)-F47</f>
        <v>0</v>
      </c>
      <c r="G48" s="24" t="n">
        <f aca="false">G45-G46+MAX(0,-G44)-G47</f>
        <v>17247.3354502833</v>
      </c>
      <c r="H48" s="24" t="n">
        <f aca="false">H45-H46+MAX(0,-H44)-H47</f>
        <v>32435.5608555246</v>
      </c>
      <c r="I48" s="24" t="n">
        <f aca="false">I45-I46+MAX(0,-I44)-I47</f>
        <v>0</v>
      </c>
      <c r="J48" s="24" t="n">
        <f aca="false">J45-J46+MAX(0,-J44)-J47</f>
        <v>0</v>
      </c>
      <c r="K48" s="24" t="n">
        <f aca="false">K45-K46+MAX(0,-K44)-K47</f>
        <v>0</v>
      </c>
      <c r="L48" s="24" t="n">
        <f aca="false">L45-L46+MAX(0,-L44)-L47</f>
        <v>0</v>
      </c>
      <c r="M48" s="24" t="n">
        <f aca="false">M45-M46+MAX(0,-M44)-M47</f>
        <v>0</v>
      </c>
      <c r="N48" s="24" t="n">
        <f aca="false">N45-N46+MAX(0,-N44)-N47</f>
        <v>0</v>
      </c>
      <c r="O48" s="24" t="n">
        <f aca="false">O45-O46+MAX(0,-O44)-O47</f>
        <v>0</v>
      </c>
      <c r="P48" s="24" t="n">
        <f aca="false">P45-P46+MAX(0,-P44)-P47</f>
        <v>0</v>
      </c>
      <c r="Q48" s="24" t="n">
        <f aca="false">Q45-Q46+MAX(0,-Q44)-Q47</f>
        <v>0</v>
      </c>
      <c r="R48" s="24" t="n">
        <f aca="false">R45-R46+MAX(0,-R44)-R47</f>
        <v>0</v>
      </c>
      <c r="S48" s="24" t="n">
        <f aca="false">S45-S46+MAX(0,-S44)-S47</f>
        <v>0</v>
      </c>
      <c r="T48" s="24" t="n">
        <f aca="false">T45-T46+MAX(0,-T44)-T47</f>
        <v>0</v>
      </c>
      <c r="U48" s="1"/>
      <c r="V48" s="1"/>
    </row>
    <row r="49" customFormat="false" ht="15" hidden="false" customHeight="false" outlineLevel="0" collapsed="false">
      <c r="A49" s="1"/>
      <c r="B49" s="6" t="s">
        <v>415</v>
      </c>
      <c r="C49" s="1"/>
      <c r="D49" s="24" t="n">
        <f aca="false">(MAX(0,D44)-D46-D47)*ParentNJ</f>
        <v>4437.19887</v>
      </c>
      <c r="E49" s="24" t="n">
        <f aca="false">(MAX(0,E44)-E46-E47)*ParentNJ</f>
        <v>6893.98828300001</v>
      </c>
      <c r="F49" s="24" t="n">
        <f aca="false">(MAX(0,F44)-F46-F47)*ParentNJ</f>
        <v>7414.397523169</v>
      </c>
      <c r="G49" s="24" t="n">
        <f aca="false">(MAX(0,G44)-G46-G47)*ParentNJ</f>
        <v>0</v>
      </c>
      <c r="H49" s="24" t="n">
        <f aca="false">(MAX(0,H44)-H46-H47)*ParentNJ</f>
        <v>0</v>
      </c>
      <c r="I49" s="24" t="n">
        <f aca="false">(MAX(0,I44)-I46-I47)*ParentNJ</f>
        <v>653.842859958746</v>
      </c>
      <c r="J49" s="24" t="n">
        <f aca="false">(MAX(0,J44)-J46-J47)*ParentNJ</f>
        <v>6677.9700915905</v>
      </c>
      <c r="K49" s="24" t="n">
        <f aca="false">(MAX(0,K44)-K46-K47)*ParentNJ</f>
        <v>6895.06945172573</v>
      </c>
      <c r="L49" s="24" t="n">
        <f aca="false">(MAX(0,L44)-L46-L47)*ParentNJ</f>
        <v>9148.03664838374</v>
      </c>
      <c r="M49" s="24" t="n">
        <f aca="false">(MAX(0,M44)-M46-M47)*ParentNJ</f>
        <v>11399.4632806187</v>
      </c>
      <c r="N49" s="24" t="n">
        <f aca="false">(MAX(0,N44)-N46-N47)*ParentNJ</f>
        <v>5571.43601341505</v>
      </c>
      <c r="O49" s="24" t="n">
        <f aca="false">(MAX(0,O44)-O46-O47)*ParentNJ</f>
        <v>7483.60708816512</v>
      </c>
      <c r="P49" s="24" t="n">
        <f aca="false">(MAX(0,P44)-P46-P47)*ParentNJ</f>
        <v>10226.0619122633</v>
      </c>
      <c r="Q49" s="24" t="n">
        <f aca="false">(MAX(0,Q44)-Q46-Q47)*ParentNJ</f>
        <v>11999.698563499</v>
      </c>
      <c r="R49" s="24" t="n">
        <f aca="false">(MAX(0,R44)-R46-R47)*ParentNJ</f>
        <v>12318.2669637294</v>
      </c>
      <c r="S49" s="24" t="n">
        <f aca="false">(MAX(0,S44)-S46-S47)*ParentNJ</f>
        <v>16110.9314752868</v>
      </c>
      <c r="T49" s="24" t="n">
        <f aca="false">(MAX(0,T44)-T46-T47)*ParentNJ</f>
        <v>17604.3937415023</v>
      </c>
      <c r="U49" s="34" t="n">
        <f aca="false">SUM(D49:T49)</f>
        <v>134834.362766307</v>
      </c>
      <c r="V49" s="1"/>
    </row>
    <row r="50" customFormat="false" ht="15" hidden="false" customHeight="false" outlineLevel="0" collapsed="false">
      <c r="A50" s="1"/>
      <c r="B50" s="9" t="s">
        <v>427</v>
      </c>
      <c r="C50" s="1"/>
      <c r="D50" s="34" t="n">
        <f aca="false">D43+D49</f>
        <v>4437.19887</v>
      </c>
      <c r="E50" s="34" t="n">
        <f aca="false">E43+E49</f>
        <v>35078.061979</v>
      </c>
      <c r="F50" s="34" t="n">
        <f aca="false">F43+F49</f>
        <v>37131.285473697</v>
      </c>
      <c r="G50" s="34" t="n">
        <f aca="false">G43+G49</f>
        <v>0</v>
      </c>
      <c r="H50" s="34" t="n">
        <f aca="false">H43+H49</f>
        <v>0</v>
      </c>
      <c r="I50" s="34" t="n">
        <f aca="false">I43+I49</f>
        <v>653.842859958746</v>
      </c>
      <c r="J50" s="34" t="n">
        <f aca="false">J43+J49</f>
        <v>6677.9700915905</v>
      </c>
      <c r="K50" s="34" t="n">
        <f aca="false">K43+K49</f>
        <v>30582.5695214255</v>
      </c>
      <c r="L50" s="34" t="n">
        <f aca="false">L43+L49</f>
        <v>50392.0662077244</v>
      </c>
      <c r="M50" s="34" t="n">
        <f aca="false">M43+M49</f>
        <v>53423.7845157796</v>
      </c>
      <c r="N50" s="34" t="n">
        <f aca="false">N43+N49</f>
        <v>5571.43601341505</v>
      </c>
      <c r="O50" s="34" t="n">
        <f aca="false">O43+O49</f>
        <v>14292.4508738769</v>
      </c>
      <c r="P50" s="34" t="n">
        <f aca="false">P43+P49</f>
        <v>61247.8500847549</v>
      </c>
      <c r="Q50" s="34" t="n">
        <f aca="false">Q43+Q49</f>
        <v>64168.4946133534</v>
      </c>
      <c r="R50" s="34" t="n">
        <f aca="false">R43+R49</f>
        <v>65646.2684298065</v>
      </c>
      <c r="S50" s="34" t="n">
        <f aca="false">S43+S49</f>
        <v>78987.4948064635</v>
      </c>
      <c r="T50" s="34" t="n">
        <f aca="false">T43+T49</f>
        <v>81663.1910349957</v>
      </c>
      <c r="U50" s="34" t="n">
        <f aca="false">SUM(D50:T50)</f>
        <v>589953.965375842</v>
      </c>
      <c r="V50" s="1"/>
    </row>
    <row r="51" customFormat="false" ht="15" hidden="false" customHeight="false" outlineLevel="0" collapsed="false">
      <c r="A51" s="1"/>
      <c r="B51" s="6" t="s">
        <v>428</v>
      </c>
      <c r="C51" s="1"/>
      <c r="D51" s="24" t="n">
        <f aca="false">D8/(1+Burden)*(1-RyanFed-RyanNJ-0.0765)</f>
        <v>23288.72</v>
      </c>
      <c r="E51" s="24" t="n">
        <f aca="false">E8/(1+Burden)*(1-RyanFed-RyanNJ-0.0765)</f>
        <v>24103.8252</v>
      </c>
      <c r="F51" s="24" t="n">
        <f aca="false">F8/(1+Burden)*(1-RyanFed-RyanNJ-0.0765)</f>
        <v>24947.459082</v>
      </c>
      <c r="G51" s="24" t="n">
        <f aca="false">G8/(1+Burden)*(1-RyanFed-RyanNJ-0.0765)</f>
        <v>25820.62014987</v>
      </c>
      <c r="H51" s="24" t="n">
        <f aca="false">H8/(1+Burden)*(1-RyanFed-RyanNJ-0.0765)</f>
        <v>26724.3418551154</v>
      </c>
      <c r="I51" s="24" t="n">
        <f aca="false">I8/(1+Burden)*(1-RyanFed-RyanNJ-0.0765)</f>
        <v>27659.6938200445</v>
      </c>
      <c r="J51" s="24" t="n">
        <f aca="false">J8/(1+Burden)*(1-RyanFed-RyanNJ-0.0765)</f>
        <v>28627.783103746</v>
      </c>
      <c r="K51" s="24" t="n">
        <f aca="false">K8/(1+Burden)*(1-RyanFed-RyanNJ-0.0765)</f>
        <v>29629.7555123771</v>
      </c>
      <c r="L51" s="24" t="n">
        <f aca="false">L8/(1+Burden)*(1-RyanFed-RyanNJ-0.0765)</f>
        <v>30666.7969553103</v>
      </c>
      <c r="M51" s="24" t="n">
        <f aca="false">M8/(1+Burden)*(1-RyanFed-RyanNJ-0.0765)</f>
        <v>31740.1348487462</v>
      </c>
      <c r="N51" s="24" t="n">
        <f aca="false">N8/(1+Burden)*(1-RyanFed-RyanNJ-0.0765)</f>
        <v>32851.0395684523</v>
      </c>
      <c r="O51" s="24" t="n">
        <f aca="false">O8/(1+Burden)*(1-RyanFed-RyanNJ-0.0765)</f>
        <v>34000.8259533482</v>
      </c>
      <c r="P51" s="24" t="n">
        <f aca="false">P8/(1+Burden)*(1-RyanFed-RyanNJ-0.0765)</f>
        <v>35190.8548617153</v>
      </c>
      <c r="Q51" s="24" t="n">
        <f aca="false">Q8/(1+Burden)*(1-RyanFed-RyanNJ-0.0765)</f>
        <v>36422.5347818754</v>
      </c>
      <c r="R51" s="24" t="n">
        <f aca="false">R8/(1+Burden)*(1-RyanFed-RyanNJ-0.0765)</f>
        <v>37697.323499241</v>
      </c>
      <c r="S51" s="24" t="n">
        <f aca="false">S8/(1+Burden)*(1-RyanFed-RyanNJ-0.0765)</f>
        <v>39016.7298217144</v>
      </c>
      <c r="T51" s="24" t="n">
        <f aca="false">T8/(1+Burden)*(1-RyanFed-RyanNJ-0.0765)</f>
        <v>40382.3153654744</v>
      </c>
      <c r="U51" s="34" t="n">
        <f aca="false">SUM(D51:T51)</f>
        <v>528770.754379031</v>
      </c>
      <c r="V51" s="1"/>
    </row>
    <row r="52" customFormat="false" ht="15" hidden="false" customHeight="false" outlineLevel="0" collapsed="false">
      <c r="A52" s="1"/>
      <c r="B52" s="9" t="s">
        <v>417</v>
      </c>
      <c r="C52" s="25" t="n">
        <f aca="false">C13</f>
        <v>-480000</v>
      </c>
      <c r="D52" s="34" t="n">
        <f aca="false">D13-D50+D51-D14*ExitTax</f>
        <v>126818.62113</v>
      </c>
      <c r="E52" s="34" t="n">
        <f aca="false">E13-E50+E51-E14*ExitTax</f>
        <v>104415.153221</v>
      </c>
      <c r="F52" s="34" t="n">
        <f aca="false">F13-F50+F51-F14*ExitTax</f>
        <v>104527.227378303</v>
      </c>
      <c r="G52" s="34" t="n">
        <f aca="false">G13-G50+G51-G14*ExitTax</f>
        <v>-275463.00734708</v>
      </c>
      <c r="H52" s="34" t="n">
        <f aca="false">H13-H50+H51-H14*ExitTax</f>
        <v>169062.099935208</v>
      </c>
      <c r="I52" s="34" t="n">
        <f aca="false">I13-I50+I51-I14*ExitTax</f>
        <v>171776.353299884</v>
      </c>
      <c r="J52" s="34" t="n">
        <f aca="false">J13-J50+J51-J14*ExitTax</f>
        <v>169148.807508241</v>
      </c>
      <c r="K52" s="34" t="n">
        <f aca="false">K13-K50+K51-K14*ExitTax</f>
        <v>148666.463208723</v>
      </c>
      <c r="L52" s="34" t="n">
        <f aca="false">L13-L50+L51-L14*ExitTax</f>
        <v>132301.782093605</v>
      </c>
      <c r="M52" s="34" t="n">
        <f aca="false">M13-M50+M51-M14*ExitTax</f>
        <v>132734.001175984</v>
      </c>
      <c r="N52" s="34" t="n">
        <f aca="false">N13-N50+N51-N14*ExitTax</f>
        <v>-52638.3724192079</v>
      </c>
      <c r="O52" s="34" t="n">
        <f aca="false">O13-O50+O51-O14*ExitTax</f>
        <v>198216.273312326</v>
      </c>
      <c r="P52" s="34" t="n">
        <f aca="false">P13-P50+P51-P14*ExitTax</f>
        <v>155926.424423074</v>
      </c>
      <c r="Q52" s="34" t="n">
        <f aca="false">Q13-Q50+Q51-Q14*ExitTax</f>
        <v>157751.577085968</v>
      </c>
      <c r="R52" s="34" t="n">
        <f aca="false">R13-R50+R51-R14*ExitTax</f>
        <v>161100.079168936</v>
      </c>
      <c r="S52" s="34" t="n">
        <f aca="false">S13-S50+S51-S14*ExitTax</f>
        <v>152665.764828905</v>
      </c>
      <c r="T52" s="34" t="n">
        <f aca="false">T13-T50+T51-T14*ExitTax</f>
        <v>371049.193116206</v>
      </c>
      <c r="U52" s="34" t="n">
        <f aca="false">SUM(D52:T52)</f>
        <v>2128058.44112008</v>
      </c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4" t="s">
        <v>429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customFormat="false" ht="15" hidden="false" customHeight="false" outlineLevel="0" collapsed="false">
      <c r="A55" s="1"/>
      <c r="B55" s="6" t="s">
        <v>419</v>
      </c>
      <c r="C55" s="1"/>
      <c r="D55" s="24" t="n">
        <f aca="false">D7-D10</f>
        <v>-2699.5666666667</v>
      </c>
      <c r="E55" s="24" t="n">
        <f aca="false">E7-E10</f>
        <v>89722.7233333334</v>
      </c>
      <c r="F55" s="24" t="n">
        <f aca="false">F7-F10</f>
        <v>91044.3871033333</v>
      </c>
      <c r="G55" s="24" t="n">
        <f aca="false">G7-G10</f>
        <v>-326950.294163617</v>
      </c>
      <c r="H55" s="24" t="n">
        <f aca="false">H7-H10</f>
        <v>116671.091413425</v>
      </c>
      <c r="I55" s="24" t="n">
        <f aca="false">I7-I10</f>
        <v>119103.835673132</v>
      </c>
      <c r="J55" s="24" t="n">
        <f aca="false">J7-J10</f>
        <v>121532.327829419</v>
      </c>
      <c r="K55" s="24" t="n">
        <f aca="false">K7-K10</f>
        <v>123952.610551105</v>
      </c>
      <c r="L55" s="24" t="n">
        <f aca="false">L7-L10</f>
        <v>126360.384679353</v>
      </c>
      <c r="M55" s="24" t="n">
        <f aca="false">M7-M10</f>
        <v>128750.984176351</v>
      </c>
      <c r="N55" s="24" t="n">
        <f aca="false">N7-N10</f>
        <v>-105584.642640912</v>
      </c>
      <c r="O55" s="24" t="n">
        <f aca="false">O7-O10</f>
        <v>152841.231566188</v>
      </c>
      <c r="P55" s="24" t="n">
        <f aca="false">P7-P10</f>
        <v>156316.752979447</v>
      </c>
      <c r="Q55" s="24" t="n">
        <f aca="false">Q7-Q10</f>
        <v>159830.870250779</v>
      </c>
      <c r="R55" s="24" t="n">
        <f aca="false">R7-R10</f>
        <v>163382.357432834</v>
      </c>
      <c r="S55" s="24" t="n">
        <f aca="false">S7-S10</f>
        <v>192636.529813654</v>
      </c>
      <c r="T55" s="24" t="n">
        <f aca="false">T7-T10</f>
        <v>196258.570139379</v>
      </c>
      <c r="U55" s="34" t="n">
        <f aca="false">SUM(D55:T55)</f>
        <v>1503170.15347054</v>
      </c>
      <c r="V55" s="1"/>
    </row>
    <row r="56" customFormat="false" ht="15" hidden="false" customHeight="false" outlineLevel="0" collapsed="false">
      <c r="A56" s="1"/>
      <c r="B56" s="6" t="s">
        <v>420</v>
      </c>
      <c r="C56" s="1"/>
      <c r="D56" s="24" t="n">
        <f aca="false">MIN(MAX(0,D55)*QBIRate,MAX(0.5*D9,0.25*D9+0.025*D12))</f>
        <v>0</v>
      </c>
      <c r="E56" s="24" t="n">
        <f aca="false">MIN(MAX(0,E55)*QBIRate,MAX(0.5*E9,0.25*E9+0.025*E12))</f>
        <v>17944.5446666667</v>
      </c>
      <c r="F56" s="24" t="n">
        <f aca="false">MIN(MAX(0,F55)*QBIRate,MAX(0.5*F9,0.25*F9+0.025*F12))</f>
        <v>18208.8774206667</v>
      </c>
      <c r="G56" s="24" t="n">
        <f aca="false">MIN(MAX(0,G55)*QBIRate,MAX(0.5*G9,0.25*G9+0.025*G12))</f>
        <v>0</v>
      </c>
      <c r="H56" s="24" t="n">
        <f aca="false">MIN(MAX(0,H55)*QBIRate,MAX(0.5*H9,0.25*H9+0.025*H12))</f>
        <v>23334.2182826851</v>
      </c>
      <c r="I56" s="24" t="n">
        <f aca="false">MIN(MAX(0,I55)*QBIRate,MAX(0.5*I9,0.25*I9+0.025*I12))</f>
        <v>23820.7671346264</v>
      </c>
      <c r="J56" s="24" t="n">
        <f aca="false">MIN(MAX(0,J55)*QBIRate,MAX(0.5*J9,0.25*J9+0.025*J12))</f>
        <v>24306.4655658838</v>
      </c>
      <c r="K56" s="24" t="n">
        <f aca="false">MIN(MAX(0,K55)*QBIRate,MAX(0.5*K9,0.25*K9+0.025*K12))</f>
        <v>24790.522110221</v>
      </c>
      <c r="L56" s="24" t="n">
        <f aca="false">MIN(MAX(0,L55)*QBIRate,MAX(0.5*L9,0.25*L9+0.025*L12))</f>
        <v>25272.0769358705</v>
      </c>
      <c r="M56" s="24" t="n">
        <f aca="false">MIN(MAX(0,M55)*QBIRate,MAX(0.5*M9,0.25*M9+0.025*M12))</f>
        <v>25750.1968352702</v>
      </c>
      <c r="N56" s="24" t="n">
        <f aca="false">MIN(MAX(0,N55)*QBIRate,MAX(0.5*N9,0.25*N9+0.025*N12))</f>
        <v>0</v>
      </c>
      <c r="O56" s="24" t="n">
        <f aca="false">MIN(MAX(0,O55)*QBIRate,MAX(0.5*O9,0.25*O9+0.025*O12))</f>
        <v>30568.2463132376</v>
      </c>
      <c r="P56" s="24" t="n">
        <f aca="false">MIN(MAX(0,P55)*QBIRate,MAX(0.5*P9,0.25*P9+0.025*P12))</f>
        <v>31263.3505958895</v>
      </c>
      <c r="Q56" s="24" t="n">
        <f aca="false">MIN(MAX(0,Q55)*QBIRate,MAX(0.5*Q9,0.25*Q9+0.025*Q12))</f>
        <v>31966.1740501559</v>
      </c>
      <c r="R56" s="24" t="n">
        <f aca="false">MIN(MAX(0,R55)*QBIRate,MAX(0.5*R9,0.25*R9+0.025*R12))</f>
        <v>32676.4714865669</v>
      </c>
      <c r="S56" s="24" t="n">
        <f aca="false">MIN(MAX(0,S55)*QBIRate,MAX(0.5*S9,0.25*S9+0.025*S12))</f>
        <v>38527.3059627308</v>
      </c>
      <c r="T56" s="24" t="n">
        <f aca="false">MIN(MAX(0,T55)*QBIRate,MAX(0.5*T9,0.25*T9+0.025*T12))</f>
        <v>39251.7140278758</v>
      </c>
      <c r="U56" s="34" t="n">
        <f aca="false">SUM(D56:T56)</f>
        <v>387680.931388347</v>
      </c>
      <c r="V56" s="1"/>
    </row>
    <row r="57" customFormat="false" ht="15" hidden="false" customHeight="false" outlineLevel="0" collapsed="false">
      <c r="A57" s="1"/>
      <c r="B57" s="6" t="s">
        <v>404</v>
      </c>
      <c r="C57" s="1"/>
      <c r="D57" s="24" t="n">
        <f aca="false">D55-D56</f>
        <v>-2699.5666666667</v>
      </c>
      <c r="E57" s="24" t="n">
        <f aca="false">E55-E56</f>
        <v>71778.1786666667</v>
      </c>
      <c r="F57" s="24" t="n">
        <f aca="false">F55-F56</f>
        <v>72835.5096826667</v>
      </c>
      <c r="G57" s="24" t="n">
        <f aca="false">G55-G56</f>
        <v>-326950.294163617</v>
      </c>
      <c r="H57" s="24" t="n">
        <f aca="false">H55-H56</f>
        <v>93336.8731307403</v>
      </c>
      <c r="I57" s="24" t="n">
        <f aca="false">I55-I56</f>
        <v>95283.0685385056</v>
      </c>
      <c r="J57" s="24" t="n">
        <f aca="false">J55-J56</f>
        <v>97225.8622635352</v>
      </c>
      <c r="K57" s="24" t="n">
        <f aca="false">K55-K56</f>
        <v>99162.0884408839</v>
      </c>
      <c r="L57" s="24" t="n">
        <f aca="false">L55-L56</f>
        <v>101088.307743482</v>
      </c>
      <c r="M57" s="24" t="n">
        <f aca="false">M55-M56</f>
        <v>103000.787341081</v>
      </c>
      <c r="N57" s="24" t="n">
        <f aca="false">N55-N56</f>
        <v>-105584.642640912</v>
      </c>
      <c r="O57" s="24" t="n">
        <f aca="false">O55-O56</f>
        <v>122272.98525295</v>
      </c>
      <c r="P57" s="24" t="n">
        <f aca="false">P55-P56</f>
        <v>125053.402383558</v>
      </c>
      <c r="Q57" s="24" t="n">
        <f aca="false">Q55-Q56</f>
        <v>127864.696200624</v>
      </c>
      <c r="R57" s="24" t="n">
        <f aca="false">R55-R56</f>
        <v>130705.885946268</v>
      </c>
      <c r="S57" s="24" t="n">
        <f aca="false">S55-S56</f>
        <v>154109.223850923</v>
      </c>
      <c r="T57" s="24" t="n">
        <f aca="false">T55-T56</f>
        <v>157006.856111503</v>
      </c>
      <c r="U57" s="34" t="n">
        <f aca="false">SUM(D57:T57)</f>
        <v>1115489.22208219</v>
      </c>
      <c r="V57" s="1"/>
    </row>
    <row r="58" customFormat="false" ht="15" hidden="false" customHeight="false" outlineLevel="0" collapsed="false">
      <c r="A58" s="1"/>
      <c r="B58" s="6" t="s">
        <v>421</v>
      </c>
      <c r="C58" s="1"/>
      <c r="D58" s="24" t="n">
        <f aca="false">0</f>
        <v>0</v>
      </c>
      <c r="E58" s="24" t="n">
        <f aca="false">D61</f>
        <v>0</v>
      </c>
      <c r="F58" s="24" t="n">
        <f aca="false">E61</f>
        <v>0</v>
      </c>
      <c r="G58" s="24" t="n">
        <f aca="false">F61</f>
        <v>0</v>
      </c>
      <c r="H58" s="24" t="n">
        <f aca="false">G61</f>
        <v>76950.2941636167</v>
      </c>
      <c r="I58" s="24" t="n">
        <f aca="false">H61</f>
        <v>0</v>
      </c>
      <c r="J58" s="24" t="n">
        <f aca="false">I61</f>
        <v>0</v>
      </c>
      <c r="K58" s="24" t="n">
        <f aca="false">J61</f>
        <v>0</v>
      </c>
      <c r="L58" s="24" t="n">
        <f aca="false">K61</f>
        <v>0</v>
      </c>
      <c r="M58" s="24" t="n">
        <f aca="false">L61</f>
        <v>0</v>
      </c>
      <c r="N58" s="24" t="n">
        <f aca="false">M61</f>
        <v>0</v>
      </c>
      <c r="O58" s="24" t="n">
        <f aca="false">N61</f>
        <v>0</v>
      </c>
      <c r="P58" s="24" t="n">
        <f aca="false">O61</f>
        <v>0</v>
      </c>
      <c r="Q58" s="24" t="n">
        <f aca="false">P61</f>
        <v>0</v>
      </c>
      <c r="R58" s="24" t="n">
        <f aca="false">Q61</f>
        <v>0</v>
      </c>
      <c r="S58" s="24" t="n">
        <f aca="false">R61</f>
        <v>0</v>
      </c>
      <c r="T58" s="24" t="n">
        <f aca="false">S61</f>
        <v>0</v>
      </c>
      <c r="U58" s="1"/>
      <c r="V58" s="1"/>
    </row>
    <row r="59" customFormat="false" ht="15" hidden="false" customHeight="false" outlineLevel="0" collapsed="false">
      <c r="A59" s="1"/>
      <c r="B59" s="6" t="s">
        <v>422</v>
      </c>
      <c r="C59" s="1"/>
      <c r="D59" s="24" t="n">
        <f aca="false">MIN(D58,MAX(0,D57))</f>
        <v>0</v>
      </c>
      <c r="E59" s="24" t="n">
        <f aca="false">MIN(E58,MAX(0,E57))</f>
        <v>0</v>
      </c>
      <c r="F59" s="24" t="n">
        <f aca="false">MIN(F58,MAX(0,F57))</f>
        <v>0</v>
      </c>
      <c r="G59" s="24" t="n">
        <f aca="false">MIN(G58,MAX(0,G57))</f>
        <v>0</v>
      </c>
      <c r="H59" s="24" t="n">
        <f aca="false">MIN(H58,MAX(0,H57))</f>
        <v>76950.2941636167</v>
      </c>
      <c r="I59" s="24" t="n">
        <f aca="false">MIN(I58,MAX(0,I57))</f>
        <v>0</v>
      </c>
      <c r="J59" s="24" t="n">
        <f aca="false">MIN(J58,MAX(0,J57))</f>
        <v>0</v>
      </c>
      <c r="K59" s="24" t="n">
        <f aca="false">MIN(K58,MAX(0,K57))</f>
        <v>0</v>
      </c>
      <c r="L59" s="24" t="n">
        <f aca="false">MIN(L58,MAX(0,L57))</f>
        <v>0</v>
      </c>
      <c r="M59" s="24" t="n">
        <f aca="false">MIN(M58,MAX(0,M57))</f>
        <v>0</v>
      </c>
      <c r="N59" s="24" t="n">
        <f aca="false">MIN(N58,MAX(0,N57))</f>
        <v>0</v>
      </c>
      <c r="O59" s="24" t="n">
        <f aca="false">MIN(O58,MAX(0,O57))</f>
        <v>0</v>
      </c>
      <c r="P59" s="24" t="n">
        <f aca="false">MIN(P58,MAX(0,P57))</f>
        <v>0</v>
      </c>
      <c r="Q59" s="24" t="n">
        <f aca="false">MIN(Q58,MAX(0,Q57))</f>
        <v>0</v>
      </c>
      <c r="R59" s="24" t="n">
        <f aca="false">MIN(R58,MAX(0,R57))</f>
        <v>0</v>
      </c>
      <c r="S59" s="24" t="n">
        <f aca="false">MIN(S58,MAX(0,S57))</f>
        <v>0</v>
      </c>
      <c r="T59" s="24" t="n">
        <f aca="false">MIN(T58,MAX(0,T57))</f>
        <v>0</v>
      </c>
      <c r="U59" s="34" t="n">
        <f aca="false">SUM(D59:T59)</f>
        <v>76950.2941636167</v>
      </c>
      <c r="V59" s="1"/>
    </row>
    <row r="60" customFormat="false" ht="15" hidden="false" customHeight="false" outlineLevel="0" collapsed="false">
      <c r="A60" s="1"/>
      <c r="B60" s="6" t="s">
        <v>423</v>
      </c>
      <c r="C60" s="1"/>
      <c r="D60" s="24" t="n">
        <f aca="false">IF(D57&lt;0,MIN(-D57,ParentPassive),0)</f>
        <v>2699.5666666667</v>
      </c>
      <c r="E60" s="24" t="n">
        <f aca="false">IF(E57&lt;0,MIN(-E57,ParentPassive),0)</f>
        <v>0</v>
      </c>
      <c r="F60" s="24" t="n">
        <f aca="false">IF(F57&lt;0,MIN(-F57,ParentPassive),0)</f>
        <v>0</v>
      </c>
      <c r="G60" s="24" t="n">
        <f aca="false">IF(G57&lt;0,MIN(-G57,ParentPassive),0)</f>
        <v>250000</v>
      </c>
      <c r="H60" s="24" t="n">
        <f aca="false">IF(H57&lt;0,MIN(-H57,ParentPassive),0)</f>
        <v>0</v>
      </c>
      <c r="I60" s="24" t="n">
        <f aca="false">IF(I57&lt;0,MIN(-I57,ParentPassive),0)</f>
        <v>0</v>
      </c>
      <c r="J60" s="24" t="n">
        <f aca="false">IF(J57&lt;0,MIN(-J57,ParentPassive),0)</f>
        <v>0</v>
      </c>
      <c r="K60" s="24" t="n">
        <f aca="false">IF(K57&lt;0,MIN(-K57,ParentPassive),0)</f>
        <v>0</v>
      </c>
      <c r="L60" s="24" t="n">
        <f aca="false">IF(L57&lt;0,MIN(-L57,ParentPassive),0)</f>
        <v>0</v>
      </c>
      <c r="M60" s="24" t="n">
        <f aca="false">IF(M57&lt;0,MIN(-M57,ParentPassive),0)</f>
        <v>0</v>
      </c>
      <c r="N60" s="24" t="n">
        <f aca="false">IF(N57&lt;0,MIN(-N57,ParentPassive),0)</f>
        <v>105584.642640912</v>
      </c>
      <c r="O60" s="24" t="n">
        <f aca="false">IF(O57&lt;0,MIN(-O57,ParentPassive),0)</f>
        <v>0</v>
      </c>
      <c r="P60" s="24" t="n">
        <f aca="false">IF(P57&lt;0,MIN(-P57,ParentPassive),0)</f>
        <v>0</v>
      </c>
      <c r="Q60" s="24" t="n">
        <f aca="false">IF(Q57&lt;0,MIN(-Q57,ParentPassive),0)</f>
        <v>0</v>
      </c>
      <c r="R60" s="24" t="n">
        <f aca="false">IF(R57&lt;0,MIN(-R57,ParentPassive),0)</f>
        <v>0</v>
      </c>
      <c r="S60" s="24" t="n">
        <f aca="false">IF(S57&lt;0,MIN(-S57,ParentPassive),0)</f>
        <v>0</v>
      </c>
      <c r="T60" s="24" t="n">
        <f aca="false">IF(T57&lt;0,MIN(-T57,ParentPassive),0)</f>
        <v>0</v>
      </c>
      <c r="U60" s="34" t="n">
        <f aca="false">SUM(D60:T60)</f>
        <v>358284.209307579</v>
      </c>
      <c r="V60" s="1"/>
    </row>
    <row r="61" customFormat="false" ht="15" hidden="false" customHeight="false" outlineLevel="0" collapsed="false">
      <c r="A61" s="1"/>
      <c r="B61" s="6" t="s">
        <v>424</v>
      </c>
      <c r="C61" s="1"/>
      <c r="D61" s="24" t="n">
        <f aca="false">D58-D59+MAX(0,-D57)-D60</f>
        <v>0</v>
      </c>
      <c r="E61" s="24" t="n">
        <f aca="false">E58-E59+MAX(0,-E57)-E60</f>
        <v>0</v>
      </c>
      <c r="F61" s="24" t="n">
        <f aca="false">F58-F59+MAX(0,-F57)-F60</f>
        <v>0</v>
      </c>
      <c r="G61" s="24" t="n">
        <f aca="false">G58-G59+MAX(0,-G57)-G60</f>
        <v>76950.2941636167</v>
      </c>
      <c r="H61" s="24" t="n">
        <f aca="false">H58-H59+MAX(0,-H57)-H60</f>
        <v>0</v>
      </c>
      <c r="I61" s="24" t="n">
        <f aca="false">I58-I59+MAX(0,-I57)-I60</f>
        <v>0</v>
      </c>
      <c r="J61" s="24" t="n">
        <f aca="false">J58-J59+MAX(0,-J57)-J60</f>
        <v>0</v>
      </c>
      <c r="K61" s="24" t="n">
        <f aca="false">K58-K59+MAX(0,-K57)-K60</f>
        <v>0</v>
      </c>
      <c r="L61" s="24" t="n">
        <f aca="false">L58-L59+MAX(0,-L57)-L60</f>
        <v>0</v>
      </c>
      <c r="M61" s="24" t="n">
        <f aca="false">M58-M59+MAX(0,-M57)-M60</f>
        <v>0</v>
      </c>
      <c r="N61" s="24" t="n">
        <f aca="false">N58-N59+MAX(0,-N57)-N60</f>
        <v>0</v>
      </c>
      <c r="O61" s="24" t="n">
        <f aca="false">O58-O59+MAX(0,-O57)-O60</f>
        <v>0</v>
      </c>
      <c r="P61" s="24" t="n">
        <f aca="false">P58-P59+MAX(0,-P57)-P60</f>
        <v>0</v>
      </c>
      <c r="Q61" s="24" t="n">
        <f aca="false">Q58-Q59+MAX(0,-Q57)-Q60</f>
        <v>0</v>
      </c>
      <c r="R61" s="24" t="n">
        <f aca="false">R58-R59+MAX(0,-R57)-R60</f>
        <v>0</v>
      </c>
      <c r="S61" s="24" t="n">
        <f aca="false">S58-S59+MAX(0,-S57)-S60</f>
        <v>0</v>
      </c>
      <c r="T61" s="24" t="n">
        <f aca="false">T58-T59+MAX(0,-T57)-T60</f>
        <v>0</v>
      </c>
      <c r="U61" s="1"/>
      <c r="V61" s="1"/>
    </row>
    <row r="62" customFormat="false" ht="15" hidden="false" customHeight="false" outlineLevel="0" collapsed="false">
      <c r="A62" s="1"/>
      <c r="B62" s="6" t="s">
        <v>425</v>
      </c>
      <c r="C62" s="1"/>
      <c r="D62" s="24" t="n">
        <f aca="false">(MAX(0,D57)-D59-D60)*(ParentFed+NIIT)</f>
        <v>-1101.42320000001</v>
      </c>
      <c r="E62" s="24" t="n">
        <f aca="false">(MAX(0,E57)-E59-E60)*(ParentFed+NIIT)</f>
        <v>29285.496896</v>
      </c>
      <c r="F62" s="24" t="n">
        <f aca="false">(MAX(0,F57)-F59-F60)*(ParentFed+NIIT)</f>
        <v>29716.887950528</v>
      </c>
      <c r="G62" s="24" t="n">
        <f aca="false">(MAX(0,G57)-G59-G60)*(ParentFed+NIIT)</f>
        <v>-102000</v>
      </c>
      <c r="H62" s="24" t="n">
        <f aca="false">(MAX(0,H57)-H59-H60)*(ParentFed+NIIT)</f>
        <v>6685.72421858646</v>
      </c>
      <c r="I62" s="24" t="n">
        <f aca="false">(MAX(0,I57)-I59-I60)*(ParentFed+NIIT)</f>
        <v>38875.4919637103</v>
      </c>
      <c r="J62" s="24" t="n">
        <f aca="false">(MAX(0,J57)-J59-J60)*(ParentFed+NIIT)</f>
        <v>39668.1518035223</v>
      </c>
      <c r="K62" s="24" t="n">
        <f aca="false">(MAX(0,K57)-K59-K60)*(ParentFed+NIIT)</f>
        <v>40458.1320838806</v>
      </c>
      <c r="L62" s="24" t="n">
        <f aca="false">(MAX(0,L57)-L59-L60)*(ParentFed+NIIT)</f>
        <v>41244.0295593407</v>
      </c>
      <c r="M62" s="24" t="n">
        <f aca="false">(MAX(0,M57)-M59-M60)*(ParentFed+NIIT)</f>
        <v>42024.3212351609</v>
      </c>
      <c r="N62" s="24" t="n">
        <f aca="false">(MAX(0,N57)-N59-N60)*(ParentFed+NIIT)</f>
        <v>-43078.534197492</v>
      </c>
      <c r="O62" s="24" t="n">
        <f aca="false">(MAX(0,O57)-O59-O60)*(ParentFed+NIIT)</f>
        <v>49887.3779832038</v>
      </c>
      <c r="P62" s="24" t="n">
        <f aca="false">(MAX(0,P57)-P59-P60)*(ParentFed+NIIT)</f>
        <v>51021.7881724916</v>
      </c>
      <c r="Q62" s="24" t="n">
        <f aca="false">(MAX(0,Q57)-Q59-Q60)*(ParentFed+NIIT)</f>
        <v>52168.7960498544</v>
      </c>
      <c r="R62" s="24" t="n">
        <f aca="false">(MAX(0,R57)-R59-R60)*(ParentFed+NIIT)</f>
        <v>53328.0014660772</v>
      </c>
      <c r="S62" s="24" t="n">
        <f aca="false">(MAX(0,S57)-S59-S60)*(ParentFed+NIIT)</f>
        <v>62876.5633311767</v>
      </c>
      <c r="T62" s="24" t="n">
        <f aca="false">(MAX(0,T57)-T59-T60)*(ParentFed+NIIT)</f>
        <v>64058.7972934933</v>
      </c>
      <c r="U62" s="34" t="n">
        <f aca="false">SUM(D62:T62)</f>
        <v>455119.602609534</v>
      </c>
      <c r="V62" s="1"/>
    </row>
    <row r="63" customFormat="false" ht="15" hidden="false" customHeight="false" outlineLevel="0" collapsed="false">
      <c r="A63" s="1"/>
      <c r="B63" s="6" t="s">
        <v>426</v>
      </c>
      <c r="C63" s="1"/>
      <c r="D63" s="24" t="n">
        <f aca="false">D7-D11</f>
        <v>49467.1</v>
      </c>
      <c r="E63" s="24" t="n">
        <f aca="false">E7-E11</f>
        <v>76856.0566666667</v>
      </c>
      <c r="F63" s="24" t="n">
        <f aca="false">F7-F11</f>
        <v>82657.7204366667</v>
      </c>
      <c r="G63" s="24" t="n">
        <f aca="false">G7-G11</f>
        <v>-17247.3354502833</v>
      </c>
      <c r="H63" s="24" t="n">
        <f aca="false">H7-H11</f>
        <v>-15188.2254052413</v>
      </c>
      <c r="I63" s="24" t="n">
        <f aca="false">I7-I11</f>
        <v>39724.7789152653</v>
      </c>
      <c r="J63" s="24" t="n">
        <f aca="false">J7-J11</f>
        <v>74447.8271080323</v>
      </c>
      <c r="K63" s="24" t="n">
        <f aca="false">K7-K11</f>
        <v>76868.1098297182</v>
      </c>
      <c r="L63" s="24" t="n">
        <f aca="false">L7-L11</f>
        <v>101984.800985326</v>
      </c>
      <c r="M63" s="24" t="n">
        <f aca="false">M7-M11</f>
        <v>127084.317509684</v>
      </c>
      <c r="N63" s="24" t="n">
        <f aca="false">N7-N11</f>
        <v>62111.8842075257</v>
      </c>
      <c r="O63" s="24" t="n">
        <f aca="false">O7-O11</f>
        <v>83429.2874934796</v>
      </c>
      <c r="P63" s="24" t="n">
        <f aca="false">P7-P11</f>
        <v>114002.919869156</v>
      </c>
      <c r="Q63" s="24" t="n">
        <f aca="false">Q7-Q11</f>
        <v>133775.903717938</v>
      </c>
      <c r="R63" s="24" t="n">
        <f aca="false">R7-R11</f>
        <v>137327.390899993</v>
      </c>
      <c r="S63" s="24" t="n">
        <f aca="false">S7-S11</f>
        <v>179609.046547233</v>
      </c>
      <c r="T63" s="24" t="n">
        <f aca="false">T7-T11</f>
        <v>196258.570139379</v>
      </c>
      <c r="U63" s="34" t="n">
        <f aca="false">SUM(D63:T63)</f>
        <v>1503170.15347054</v>
      </c>
      <c r="V63" s="1"/>
    </row>
    <row r="64" customFormat="false" ht="15" hidden="false" customHeight="false" outlineLevel="0" collapsed="false">
      <c r="A64" s="1"/>
      <c r="B64" s="6" t="s">
        <v>411</v>
      </c>
      <c r="C64" s="1"/>
      <c r="D64" s="24" t="n">
        <f aca="false">0</f>
        <v>0</v>
      </c>
      <c r="E64" s="24" t="n">
        <f aca="false">D67</f>
        <v>0</v>
      </c>
      <c r="F64" s="24" t="n">
        <f aca="false">E67</f>
        <v>0</v>
      </c>
      <c r="G64" s="24" t="n">
        <f aca="false">F67</f>
        <v>0</v>
      </c>
      <c r="H64" s="24" t="n">
        <f aca="false">G67</f>
        <v>0</v>
      </c>
      <c r="I64" s="24" t="n">
        <f aca="false">H67</f>
        <v>0</v>
      </c>
      <c r="J64" s="24" t="n">
        <f aca="false">I67</f>
        <v>0</v>
      </c>
      <c r="K64" s="24" t="n">
        <f aca="false">J67</f>
        <v>0</v>
      </c>
      <c r="L64" s="24" t="n">
        <f aca="false">K67</f>
        <v>0</v>
      </c>
      <c r="M64" s="24" t="n">
        <f aca="false">L67</f>
        <v>0</v>
      </c>
      <c r="N64" s="24" t="n">
        <f aca="false">M67</f>
        <v>0</v>
      </c>
      <c r="O64" s="24" t="n">
        <f aca="false">N67</f>
        <v>0</v>
      </c>
      <c r="P64" s="24" t="n">
        <f aca="false">O67</f>
        <v>0</v>
      </c>
      <c r="Q64" s="24" t="n">
        <f aca="false">P67</f>
        <v>0</v>
      </c>
      <c r="R64" s="24" t="n">
        <f aca="false">Q67</f>
        <v>0</v>
      </c>
      <c r="S64" s="24" t="n">
        <f aca="false">R67</f>
        <v>0</v>
      </c>
      <c r="T64" s="24" t="n">
        <f aca="false">S67</f>
        <v>0</v>
      </c>
      <c r="U64" s="1"/>
      <c r="V64" s="1"/>
    </row>
    <row r="65" customFormat="false" ht="15" hidden="false" customHeight="false" outlineLevel="0" collapsed="false">
      <c r="A65" s="1"/>
      <c r="B65" s="6" t="s">
        <v>412</v>
      </c>
      <c r="C65" s="1"/>
      <c r="D65" s="24" t="n">
        <f aca="false">MIN(D64,MAX(0,D63))</f>
        <v>0</v>
      </c>
      <c r="E65" s="24" t="n">
        <f aca="false">MIN(E64,MAX(0,E63))</f>
        <v>0</v>
      </c>
      <c r="F65" s="24" t="n">
        <f aca="false">MIN(F64,MAX(0,F63))</f>
        <v>0</v>
      </c>
      <c r="G65" s="24" t="n">
        <f aca="false">MIN(G64,MAX(0,G63))</f>
        <v>0</v>
      </c>
      <c r="H65" s="24" t="n">
        <f aca="false">MIN(H64,MAX(0,H63))</f>
        <v>0</v>
      </c>
      <c r="I65" s="24" t="n">
        <f aca="false">MIN(I64,MAX(0,I63))</f>
        <v>0</v>
      </c>
      <c r="J65" s="24" t="n">
        <f aca="false">MIN(J64,MAX(0,J63))</f>
        <v>0</v>
      </c>
      <c r="K65" s="24" t="n">
        <f aca="false">MIN(K64,MAX(0,K63))</f>
        <v>0</v>
      </c>
      <c r="L65" s="24" t="n">
        <f aca="false">MIN(L64,MAX(0,L63))</f>
        <v>0</v>
      </c>
      <c r="M65" s="24" t="n">
        <f aca="false">MIN(M64,MAX(0,M63))</f>
        <v>0</v>
      </c>
      <c r="N65" s="24" t="n">
        <f aca="false">MIN(N64,MAX(0,N63))</f>
        <v>0</v>
      </c>
      <c r="O65" s="24" t="n">
        <f aca="false">MIN(O64,MAX(0,O63))</f>
        <v>0</v>
      </c>
      <c r="P65" s="24" t="n">
        <f aca="false">MIN(P64,MAX(0,P63))</f>
        <v>0</v>
      </c>
      <c r="Q65" s="24" t="n">
        <f aca="false">MIN(Q64,MAX(0,Q63))</f>
        <v>0</v>
      </c>
      <c r="R65" s="24" t="n">
        <f aca="false">MIN(R64,MAX(0,R63))</f>
        <v>0</v>
      </c>
      <c r="S65" s="24" t="n">
        <f aca="false">MIN(S64,MAX(0,S63))</f>
        <v>0</v>
      </c>
      <c r="T65" s="24" t="n">
        <f aca="false">MIN(T64,MAX(0,T63))</f>
        <v>0</v>
      </c>
      <c r="U65" s="34" t="n">
        <f aca="false">SUM(D65:T65)</f>
        <v>0</v>
      </c>
      <c r="V65" s="1"/>
    </row>
    <row r="66" customFormat="false" ht="15" hidden="false" customHeight="false" outlineLevel="0" collapsed="false">
      <c r="A66" s="1"/>
      <c r="B66" s="6" t="s">
        <v>413</v>
      </c>
      <c r="C66" s="1"/>
      <c r="D66" s="24" t="n">
        <f aca="false">IF(D63&lt;0,MIN(-D63,ParentNJBiz),0)</f>
        <v>0</v>
      </c>
      <c r="E66" s="24" t="n">
        <f aca="false">IF(E63&lt;0,MIN(-E63,ParentNJBiz),0)</f>
        <v>0</v>
      </c>
      <c r="F66" s="24" t="n">
        <f aca="false">IF(F63&lt;0,MIN(-F63,ParentNJBiz),0)</f>
        <v>0</v>
      </c>
      <c r="G66" s="24" t="n">
        <f aca="false">IF(G63&lt;0,MIN(-G63,ParentNJBiz),0)</f>
        <v>17247.3354502833</v>
      </c>
      <c r="H66" s="24" t="n">
        <f aca="false">IF(H63&lt;0,MIN(-H63,ParentNJBiz),0)</f>
        <v>15188.2254052413</v>
      </c>
      <c r="I66" s="24" t="n">
        <f aca="false">IF(I63&lt;0,MIN(-I63,ParentNJBiz),0)</f>
        <v>0</v>
      </c>
      <c r="J66" s="24" t="n">
        <f aca="false">IF(J63&lt;0,MIN(-J63,ParentNJBiz),0)</f>
        <v>0</v>
      </c>
      <c r="K66" s="24" t="n">
        <f aca="false">IF(K63&lt;0,MIN(-K63,ParentNJBiz),0)</f>
        <v>0</v>
      </c>
      <c r="L66" s="24" t="n">
        <f aca="false">IF(L63&lt;0,MIN(-L63,ParentNJBiz),0)</f>
        <v>0</v>
      </c>
      <c r="M66" s="24" t="n">
        <f aca="false">IF(M63&lt;0,MIN(-M63,ParentNJBiz),0)</f>
        <v>0</v>
      </c>
      <c r="N66" s="24" t="n">
        <f aca="false">IF(N63&lt;0,MIN(-N63,ParentNJBiz),0)</f>
        <v>0</v>
      </c>
      <c r="O66" s="24" t="n">
        <f aca="false">IF(O63&lt;0,MIN(-O63,ParentNJBiz),0)</f>
        <v>0</v>
      </c>
      <c r="P66" s="24" t="n">
        <f aca="false">IF(P63&lt;0,MIN(-P63,ParentNJBiz),0)</f>
        <v>0</v>
      </c>
      <c r="Q66" s="24" t="n">
        <f aca="false">IF(Q63&lt;0,MIN(-Q63,ParentNJBiz),0)</f>
        <v>0</v>
      </c>
      <c r="R66" s="24" t="n">
        <f aca="false">IF(R63&lt;0,MIN(-R63,ParentNJBiz),0)</f>
        <v>0</v>
      </c>
      <c r="S66" s="24" t="n">
        <f aca="false">IF(S63&lt;0,MIN(-S63,ParentNJBiz),0)</f>
        <v>0</v>
      </c>
      <c r="T66" s="24" t="n">
        <f aca="false">IF(T63&lt;0,MIN(-T63,ParentNJBiz),0)</f>
        <v>0</v>
      </c>
      <c r="U66" s="34" t="n">
        <f aca="false">SUM(D66:T66)</f>
        <v>32435.5608555246</v>
      </c>
      <c r="V66" s="1"/>
    </row>
    <row r="67" customFormat="false" ht="15" hidden="false" customHeight="false" outlineLevel="0" collapsed="false">
      <c r="A67" s="1"/>
      <c r="B67" s="6" t="s">
        <v>414</v>
      </c>
      <c r="C67" s="1"/>
      <c r="D67" s="24" t="n">
        <f aca="false">D64-D65+MAX(0,-D63)-D66</f>
        <v>0</v>
      </c>
      <c r="E67" s="24" t="n">
        <f aca="false">E64-E65+MAX(0,-E63)-E66</f>
        <v>0</v>
      </c>
      <c r="F67" s="24" t="n">
        <f aca="false">F64-F65+MAX(0,-F63)-F66</f>
        <v>0</v>
      </c>
      <c r="G67" s="24" t="n">
        <f aca="false">G64-G65+MAX(0,-G63)-G66</f>
        <v>0</v>
      </c>
      <c r="H67" s="24" t="n">
        <f aca="false">H64-H65+MAX(0,-H63)-H66</f>
        <v>0</v>
      </c>
      <c r="I67" s="24" t="n">
        <f aca="false">I64-I65+MAX(0,-I63)-I66</f>
        <v>0</v>
      </c>
      <c r="J67" s="24" t="n">
        <f aca="false">J64-J65+MAX(0,-J63)-J66</f>
        <v>0</v>
      </c>
      <c r="K67" s="24" t="n">
        <f aca="false">K64-K65+MAX(0,-K63)-K66</f>
        <v>0</v>
      </c>
      <c r="L67" s="24" t="n">
        <f aca="false">L64-L65+MAX(0,-L63)-L66</f>
        <v>0</v>
      </c>
      <c r="M67" s="24" t="n">
        <f aca="false">M64-M65+MAX(0,-M63)-M66</f>
        <v>0</v>
      </c>
      <c r="N67" s="24" t="n">
        <f aca="false">N64-N65+MAX(0,-N63)-N66</f>
        <v>0</v>
      </c>
      <c r="O67" s="24" t="n">
        <f aca="false">O64-O65+MAX(0,-O63)-O66</f>
        <v>0</v>
      </c>
      <c r="P67" s="24" t="n">
        <f aca="false">P64-P65+MAX(0,-P63)-P66</f>
        <v>0</v>
      </c>
      <c r="Q67" s="24" t="n">
        <f aca="false">Q64-Q65+MAX(0,-Q63)-Q66</f>
        <v>0</v>
      </c>
      <c r="R67" s="24" t="n">
        <f aca="false">R64-R65+MAX(0,-R63)-R66</f>
        <v>0</v>
      </c>
      <c r="S67" s="24" t="n">
        <f aca="false">S64-S65+MAX(0,-S63)-S66</f>
        <v>0</v>
      </c>
      <c r="T67" s="24" t="n">
        <f aca="false">T64-T65+MAX(0,-T63)-T66</f>
        <v>0</v>
      </c>
      <c r="U67" s="1"/>
      <c r="V67" s="1"/>
    </row>
    <row r="68" customFormat="false" ht="15" hidden="false" customHeight="false" outlineLevel="0" collapsed="false">
      <c r="A68" s="1"/>
      <c r="B68" s="6" t="s">
        <v>415</v>
      </c>
      <c r="C68" s="1"/>
      <c r="D68" s="24" t="n">
        <f aca="false">(MAX(0,D63)-D65-D66)*ParentNJ</f>
        <v>4437.19887</v>
      </c>
      <c r="E68" s="24" t="n">
        <f aca="false">(MAX(0,E63)-E65-E66)*ParentNJ</f>
        <v>6893.98828300001</v>
      </c>
      <c r="F68" s="24" t="n">
        <f aca="false">(MAX(0,F63)-F65-F66)*ParentNJ</f>
        <v>7414.397523169</v>
      </c>
      <c r="G68" s="24" t="n">
        <f aca="false">(MAX(0,G63)-G65-G66)*ParentNJ</f>
        <v>-1547.08598989041</v>
      </c>
      <c r="H68" s="24" t="n">
        <f aca="false">(MAX(0,H63)-H65-H66)*ParentNJ</f>
        <v>-1362.38381885014</v>
      </c>
      <c r="I68" s="24" t="n">
        <f aca="false">(MAX(0,I63)-I65-I66)*ParentNJ</f>
        <v>3563.3126686993</v>
      </c>
      <c r="J68" s="24" t="n">
        <f aca="false">(MAX(0,J63)-J65-J66)*ParentNJ</f>
        <v>6677.9700915905</v>
      </c>
      <c r="K68" s="24" t="n">
        <f aca="false">(MAX(0,K63)-K65-K66)*ParentNJ</f>
        <v>6895.06945172573</v>
      </c>
      <c r="L68" s="24" t="n">
        <f aca="false">(MAX(0,L63)-L65-L66)*ParentNJ</f>
        <v>9148.03664838374</v>
      </c>
      <c r="M68" s="24" t="n">
        <f aca="false">(MAX(0,M63)-M65-M66)*ParentNJ</f>
        <v>11399.4632806187</v>
      </c>
      <c r="N68" s="24" t="n">
        <f aca="false">(MAX(0,N63)-N65-N66)*ParentNJ</f>
        <v>5571.43601341505</v>
      </c>
      <c r="O68" s="24" t="n">
        <f aca="false">(MAX(0,O63)-O65-O66)*ParentNJ</f>
        <v>7483.60708816512</v>
      </c>
      <c r="P68" s="24" t="n">
        <f aca="false">(MAX(0,P63)-P65-P66)*ParentNJ</f>
        <v>10226.0619122633</v>
      </c>
      <c r="Q68" s="24" t="n">
        <f aca="false">(MAX(0,Q63)-Q65-Q66)*ParentNJ</f>
        <v>11999.698563499</v>
      </c>
      <c r="R68" s="24" t="n">
        <f aca="false">(MAX(0,R63)-R65-R66)*ParentNJ</f>
        <v>12318.2669637294</v>
      </c>
      <c r="S68" s="24" t="n">
        <f aca="false">(MAX(0,S63)-S65-S66)*ParentNJ</f>
        <v>16110.9314752868</v>
      </c>
      <c r="T68" s="24" t="n">
        <f aca="false">(MAX(0,T63)-T65-T66)*ParentNJ</f>
        <v>17604.3937415023</v>
      </c>
      <c r="U68" s="34" t="n">
        <f aca="false">SUM(D68:T68)</f>
        <v>134834.362766307</v>
      </c>
      <c r="V68" s="1"/>
    </row>
    <row r="69" customFormat="false" ht="15" hidden="false" customHeight="false" outlineLevel="0" collapsed="false">
      <c r="A69" s="1"/>
      <c r="B69" s="9" t="s">
        <v>427</v>
      </c>
      <c r="C69" s="1"/>
      <c r="D69" s="34" t="n">
        <f aca="false">D62+D68</f>
        <v>3335.77566999999</v>
      </c>
      <c r="E69" s="34" t="n">
        <f aca="false">E62+E68</f>
        <v>36179.485179</v>
      </c>
      <c r="F69" s="34" t="n">
        <f aca="false">F62+F68</f>
        <v>37131.285473697</v>
      </c>
      <c r="G69" s="34" t="n">
        <f aca="false">G62+G68</f>
        <v>-103547.08598989</v>
      </c>
      <c r="H69" s="34" t="n">
        <f aca="false">H62+H68</f>
        <v>5323.34039973632</v>
      </c>
      <c r="I69" s="34" t="n">
        <f aca="false">I62+I68</f>
        <v>42438.8046324096</v>
      </c>
      <c r="J69" s="34" t="n">
        <f aca="false">J62+J68</f>
        <v>46346.1218951128</v>
      </c>
      <c r="K69" s="34" t="n">
        <f aca="false">K62+K68</f>
        <v>47353.2015356064</v>
      </c>
      <c r="L69" s="34" t="n">
        <f aca="false">L62+L68</f>
        <v>50392.0662077244</v>
      </c>
      <c r="M69" s="34" t="n">
        <f aca="false">M62+M68</f>
        <v>53423.7845157796</v>
      </c>
      <c r="N69" s="34" t="n">
        <f aca="false">N62+N68</f>
        <v>-37507.098184077</v>
      </c>
      <c r="O69" s="34" t="n">
        <f aca="false">O62+O68</f>
        <v>57370.9850713689</v>
      </c>
      <c r="P69" s="34" t="n">
        <f aca="false">P62+P68</f>
        <v>61247.8500847549</v>
      </c>
      <c r="Q69" s="34" t="n">
        <f aca="false">Q62+Q68</f>
        <v>64168.4946133534</v>
      </c>
      <c r="R69" s="34" t="n">
        <f aca="false">R62+R68</f>
        <v>65646.2684298065</v>
      </c>
      <c r="S69" s="34" t="n">
        <f aca="false">S62+S68</f>
        <v>78987.4948064635</v>
      </c>
      <c r="T69" s="34" t="n">
        <f aca="false">T62+T68</f>
        <v>81663.1910349957</v>
      </c>
      <c r="U69" s="34" t="n">
        <f aca="false">SUM(D69:T69)</f>
        <v>589953.965375842</v>
      </c>
      <c r="V69" s="1"/>
    </row>
    <row r="70" customFormat="false" ht="15" hidden="false" customHeight="false" outlineLevel="0" collapsed="false">
      <c r="A70" s="1"/>
      <c r="B70" s="6" t="s">
        <v>428</v>
      </c>
      <c r="C70" s="1"/>
      <c r="D70" s="24" t="n">
        <f aca="false">D8/(1+Burden)*(1-RyanFed-RyanNJ-0.0765)</f>
        <v>23288.72</v>
      </c>
      <c r="E70" s="24" t="n">
        <f aca="false">E8/(1+Burden)*(1-RyanFed-RyanNJ-0.0765)</f>
        <v>24103.8252</v>
      </c>
      <c r="F70" s="24" t="n">
        <f aca="false">F8/(1+Burden)*(1-RyanFed-RyanNJ-0.0765)</f>
        <v>24947.459082</v>
      </c>
      <c r="G70" s="24" t="n">
        <f aca="false">G8/(1+Burden)*(1-RyanFed-RyanNJ-0.0765)</f>
        <v>25820.62014987</v>
      </c>
      <c r="H70" s="24" t="n">
        <f aca="false">H8/(1+Burden)*(1-RyanFed-RyanNJ-0.0765)</f>
        <v>26724.3418551154</v>
      </c>
      <c r="I70" s="24" t="n">
        <f aca="false">I8/(1+Burden)*(1-RyanFed-RyanNJ-0.0765)</f>
        <v>27659.6938200445</v>
      </c>
      <c r="J70" s="24" t="n">
        <f aca="false">J8/(1+Burden)*(1-RyanFed-RyanNJ-0.0765)</f>
        <v>28627.783103746</v>
      </c>
      <c r="K70" s="24" t="n">
        <f aca="false">K8/(1+Burden)*(1-RyanFed-RyanNJ-0.0765)</f>
        <v>29629.7555123771</v>
      </c>
      <c r="L70" s="24" t="n">
        <f aca="false">L8/(1+Burden)*(1-RyanFed-RyanNJ-0.0765)</f>
        <v>30666.7969553103</v>
      </c>
      <c r="M70" s="24" t="n">
        <f aca="false">M8/(1+Burden)*(1-RyanFed-RyanNJ-0.0765)</f>
        <v>31740.1348487462</v>
      </c>
      <c r="N70" s="24" t="n">
        <f aca="false">N8/(1+Burden)*(1-RyanFed-RyanNJ-0.0765)</f>
        <v>32851.0395684523</v>
      </c>
      <c r="O70" s="24" t="n">
        <f aca="false">O8/(1+Burden)*(1-RyanFed-RyanNJ-0.0765)</f>
        <v>34000.8259533482</v>
      </c>
      <c r="P70" s="24" t="n">
        <f aca="false">P8/(1+Burden)*(1-RyanFed-RyanNJ-0.0765)</f>
        <v>35190.8548617153</v>
      </c>
      <c r="Q70" s="24" t="n">
        <f aca="false">Q8/(1+Burden)*(1-RyanFed-RyanNJ-0.0765)</f>
        <v>36422.5347818754</v>
      </c>
      <c r="R70" s="24" t="n">
        <f aca="false">R8/(1+Burden)*(1-RyanFed-RyanNJ-0.0765)</f>
        <v>37697.323499241</v>
      </c>
      <c r="S70" s="24" t="n">
        <f aca="false">S8/(1+Burden)*(1-RyanFed-RyanNJ-0.0765)</f>
        <v>39016.7298217144</v>
      </c>
      <c r="T70" s="24" t="n">
        <f aca="false">T8/(1+Burden)*(1-RyanFed-RyanNJ-0.0765)</f>
        <v>40382.3153654744</v>
      </c>
      <c r="U70" s="34" t="n">
        <f aca="false">SUM(D70:T70)</f>
        <v>528770.754379031</v>
      </c>
      <c r="V70" s="1"/>
    </row>
    <row r="71" customFormat="false" ht="15" hidden="false" customHeight="false" outlineLevel="0" collapsed="false">
      <c r="A71" s="1"/>
      <c r="B71" s="9" t="s">
        <v>417</v>
      </c>
      <c r="C71" s="25" t="n">
        <f aca="false">C13</f>
        <v>-480000</v>
      </c>
      <c r="D71" s="34" t="n">
        <f aca="false">D13-D69+D70-D14*ExitTax</f>
        <v>127920.04433</v>
      </c>
      <c r="E71" s="34" t="n">
        <f aca="false">E13-E69+E70-E14*ExitTax</f>
        <v>103313.730021</v>
      </c>
      <c r="F71" s="34" t="n">
        <f aca="false">F13-F69+F70-F14*ExitTax</f>
        <v>104527.227378303</v>
      </c>
      <c r="G71" s="34" t="n">
        <f aca="false">G13-G69+G70-G14*ExitTax</f>
        <v>-171915.92135719</v>
      </c>
      <c r="H71" s="34" t="n">
        <f aca="false">H13-H69+H70-H14*ExitTax</f>
        <v>163738.759535471</v>
      </c>
      <c r="I71" s="34" t="n">
        <f aca="false">I13-I69+I70-I14*ExitTax</f>
        <v>129991.391527434</v>
      </c>
      <c r="J71" s="34" t="n">
        <f aca="false">J13-J69+J70-J14*ExitTax</f>
        <v>129480.655704719</v>
      </c>
      <c r="K71" s="34" t="n">
        <f aca="false">K13-K69+K70-K14*ExitTax</f>
        <v>131895.831194542</v>
      </c>
      <c r="L71" s="34" t="n">
        <f aca="false">L13-L69+L70-L14*ExitTax</f>
        <v>132301.782093605</v>
      </c>
      <c r="M71" s="34" t="n">
        <f aca="false">M13-M69+M70-M14*ExitTax</f>
        <v>132734.001175984</v>
      </c>
      <c r="N71" s="34" t="n">
        <f aca="false">N13-N69+N70-N14*ExitTax</f>
        <v>-9559.83822171587</v>
      </c>
      <c r="O71" s="34" t="n">
        <f aca="false">O13-O69+O70-O14*ExitTax</f>
        <v>155137.739114834</v>
      </c>
      <c r="P71" s="34" t="n">
        <f aca="false">P13-P69+P70-P14*ExitTax</f>
        <v>155926.424423074</v>
      </c>
      <c r="Q71" s="34" t="n">
        <f aca="false">Q13-Q69+Q70-Q14*ExitTax</f>
        <v>157751.577085968</v>
      </c>
      <c r="R71" s="34" t="n">
        <f aca="false">R13-R69+R70-R14*ExitTax</f>
        <v>161100.079168936</v>
      </c>
      <c r="S71" s="34" t="n">
        <f aca="false">S13-S69+S70-S14*ExitTax</f>
        <v>152665.764828905</v>
      </c>
      <c r="T71" s="34" t="n">
        <f aca="false">T13-T69+T70-T14*ExitTax</f>
        <v>371049.193116206</v>
      </c>
      <c r="U71" s="34" t="n">
        <f aca="false">SUM(D71:T71)</f>
        <v>2128058.44112008</v>
      </c>
      <c r="V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15" hidden="false" customHeight="false" outlineLevel="0" collapsed="false">
      <c r="A73" s="1"/>
      <c r="B73" s="4" t="s">
        <v>430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customFormat="false" ht="15" hidden="false" customHeight="false" outlineLevel="0" collapsed="false">
      <c r="A74" s="1"/>
      <c r="B74" s="6" t="s">
        <v>431</v>
      </c>
      <c r="C74" s="1"/>
      <c r="D74" s="24" t="n">
        <f aca="false">LoanAmt</f>
        <v>500000</v>
      </c>
      <c r="E74" s="24" t="n">
        <f aca="false">MAX(0,D74-LoanForgive)</f>
        <v>462000</v>
      </c>
      <c r="F74" s="24" t="n">
        <f aca="false">MAX(0,E74-LoanForgive)</f>
        <v>424000</v>
      </c>
      <c r="G74" s="24" t="n">
        <f aca="false">MAX(0,F74-LoanForgive)</f>
        <v>386000</v>
      </c>
      <c r="H74" s="24" t="n">
        <f aca="false">MAX(0,G74-LoanForgive)</f>
        <v>348000</v>
      </c>
      <c r="I74" s="24" t="n">
        <f aca="false">MAX(0,H74-LoanForgive)</f>
        <v>310000</v>
      </c>
      <c r="J74" s="24" t="n">
        <f aca="false">MAX(0,I74-LoanForgive)</f>
        <v>272000</v>
      </c>
      <c r="K74" s="24" t="n">
        <f aca="false">MAX(0,J74-LoanForgive)</f>
        <v>234000</v>
      </c>
      <c r="L74" s="24" t="n">
        <f aca="false">MAX(0,K74-LoanForgive)</f>
        <v>196000</v>
      </c>
      <c r="M74" s="24" t="n">
        <f aca="false">MAX(0,L74-LoanForgive)</f>
        <v>158000</v>
      </c>
      <c r="N74" s="24" t="n">
        <f aca="false">MAX(0,M74-LoanForgive)</f>
        <v>120000</v>
      </c>
      <c r="O74" s="24" t="n">
        <f aca="false">MAX(0,N74-LoanForgive)</f>
        <v>82000</v>
      </c>
      <c r="P74" s="24" t="n">
        <f aca="false">MAX(0,O74-LoanForgive)</f>
        <v>44000</v>
      </c>
      <c r="Q74" s="24" t="n">
        <f aca="false">MAX(0,P74-LoanForgive)</f>
        <v>6000</v>
      </c>
      <c r="R74" s="24" t="n">
        <f aca="false">MAX(0,Q74-LoanForgive)</f>
        <v>0</v>
      </c>
      <c r="S74" s="24" t="n">
        <f aca="false">MAX(0,R74-LoanForgive)</f>
        <v>0</v>
      </c>
      <c r="T74" s="24" t="n">
        <f aca="false">MAX(0,S74-LoanForgive)</f>
        <v>0</v>
      </c>
      <c r="U74" s="1"/>
      <c r="V74" s="1"/>
    </row>
    <row r="75" customFormat="false" ht="15" hidden="false" customHeight="false" outlineLevel="0" collapsed="false">
      <c r="A75" s="1"/>
      <c r="B75" s="6" t="s">
        <v>432</v>
      </c>
      <c r="C75" s="1"/>
      <c r="D75" s="24" t="n">
        <f aca="false">D74*LoanRate</f>
        <v>23050</v>
      </c>
      <c r="E75" s="24" t="n">
        <f aca="false">E74*LoanRate</f>
        <v>21298.2</v>
      </c>
      <c r="F75" s="24" t="n">
        <f aca="false">F74*LoanRate</f>
        <v>19546.4</v>
      </c>
      <c r="G75" s="24" t="n">
        <f aca="false">G74*LoanRate</f>
        <v>17794.6</v>
      </c>
      <c r="H75" s="24" t="n">
        <f aca="false">H74*LoanRate</f>
        <v>16042.8</v>
      </c>
      <c r="I75" s="24" t="n">
        <f aca="false">I74*LoanRate</f>
        <v>14291</v>
      </c>
      <c r="J75" s="24" t="n">
        <f aca="false">J74*LoanRate</f>
        <v>12539.2</v>
      </c>
      <c r="K75" s="24" t="n">
        <f aca="false">K74*LoanRate</f>
        <v>10787.4</v>
      </c>
      <c r="L75" s="24" t="n">
        <f aca="false">L74*LoanRate</f>
        <v>9035.6</v>
      </c>
      <c r="M75" s="24" t="n">
        <f aca="false">M74*LoanRate</f>
        <v>7283.8</v>
      </c>
      <c r="N75" s="24" t="n">
        <f aca="false">N74*LoanRate</f>
        <v>5532</v>
      </c>
      <c r="O75" s="24" t="n">
        <f aca="false">O74*LoanRate</f>
        <v>3780.2</v>
      </c>
      <c r="P75" s="24" t="n">
        <f aca="false">P74*LoanRate</f>
        <v>2028.4</v>
      </c>
      <c r="Q75" s="24" t="n">
        <f aca="false">Q74*LoanRate</f>
        <v>276.6</v>
      </c>
      <c r="R75" s="24" t="n">
        <f aca="false">R74*LoanRate</f>
        <v>0</v>
      </c>
      <c r="S75" s="24" t="n">
        <f aca="false">S74*LoanRate</f>
        <v>0</v>
      </c>
      <c r="T75" s="24" t="n">
        <f aca="false">T74*LoanRate</f>
        <v>0</v>
      </c>
      <c r="U75" s="34" t="n">
        <f aca="false">SUM(D75:T75)</f>
        <v>163286.2</v>
      </c>
      <c r="V75" s="1"/>
    </row>
    <row r="76" customFormat="false" ht="15" hidden="false" customHeight="false" outlineLevel="0" collapsed="false">
      <c r="A76" s="1"/>
      <c r="B76" s="6" t="s">
        <v>433</v>
      </c>
      <c r="C76" s="1"/>
      <c r="D76" s="40" t="n">
        <f aca="false">IF(D$5&gt;=SCorpYear,1,0)</f>
        <v>0</v>
      </c>
      <c r="E76" s="40" t="n">
        <f aca="false">IF(E$5&gt;=SCorpYear,1,0)</f>
        <v>1</v>
      </c>
      <c r="F76" s="40" t="n">
        <f aca="false">IF(F$5&gt;=SCorpYear,1,0)</f>
        <v>1</v>
      </c>
      <c r="G76" s="40" t="n">
        <f aca="false">IF(G$5&gt;=SCorpYear,1,0)</f>
        <v>1</v>
      </c>
      <c r="H76" s="40" t="n">
        <f aca="false">IF(H$5&gt;=SCorpYear,1,0)</f>
        <v>1</v>
      </c>
      <c r="I76" s="40" t="n">
        <f aca="false">IF(I$5&gt;=SCorpYear,1,0)</f>
        <v>1</v>
      </c>
      <c r="J76" s="40" t="n">
        <f aca="false">IF(J$5&gt;=SCorpYear,1,0)</f>
        <v>1</v>
      </c>
      <c r="K76" s="40" t="n">
        <f aca="false">IF(K$5&gt;=SCorpYear,1,0)</f>
        <v>1</v>
      </c>
      <c r="L76" s="40" t="n">
        <f aca="false">IF(L$5&gt;=SCorpYear,1,0)</f>
        <v>1</v>
      </c>
      <c r="M76" s="40" t="n">
        <f aca="false">IF(M$5&gt;=SCorpYear,1,0)</f>
        <v>1</v>
      </c>
      <c r="N76" s="40" t="n">
        <f aca="false">IF(N$5&gt;=SCorpYear,1,0)</f>
        <v>1</v>
      </c>
      <c r="O76" s="40" t="n">
        <f aca="false">IF(O$5&gt;=SCorpYear,1,0)</f>
        <v>1</v>
      </c>
      <c r="P76" s="40" t="n">
        <f aca="false">IF(P$5&gt;=SCorpYear,1,0)</f>
        <v>1</v>
      </c>
      <c r="Q76" s="40" t="n">
        <f aca="false">IF(Q$5&gt;=SCorpYear,1,0)</f>
        <v>1</v>
      </c>
      <c r="R76" s="40" t="n">
        <f aca="false">IF(R$5&gt;=SCorpYear,1,0)</f>
        <v>1</v>
      </c>
      <c r="S76" s="40" t="n">
        <f aca="false">IF(S$5&gt;=SCorpYear,1,0)</f>
        <v>1</v>
      </c>
      <c r="T76" s="40" t="n">
        <f aca="false">IF(T$5&gt;=SCorpYear,1,0)</f>
        <v>1</v>
      </c>
      <c r="U76" s="1"/>
      <c r="V76" s="1"/>
    </row>
    <row r="77" customFormat="false" ht="15" hidden="false" customHeight="false" outlineLevel="0" collapsed="false">
      <c r="A77" s="1"/>
      <c r="B77" s="6" t="s">
        <v>434</v>
      </c>
      <c r="C77" s="1"/>
      <c r="D77" s="24" t="n">
        <f aca="false">D76*RyanSalary*(1+WageGrowth)^MAX(0,D$5-SCorpYear)</f>
        <v>0</v>
      </c>
      <c r="E77" s="24" t="n">
        <f aca="false">E76*RyanSalary*(1+WageGrowth)^MAX(0,E$5-SCorpYear)</f>
        <v>60000</v>
      </c>
      <c r="F77" s="24" t="n">
        <f aca="false">F76*RyanSalary*(1+WageGrowth)^MAX(0,F$5-SCorpYear)</f>
        <v>62100</v>
      </c>
      <c r="G77" s="24" t="n">
        <f aca="false">G76*RyanSalary*(1+WageGrowth)^MAX(0,G$5-SCorpYear)</f>
        <v>64273.5</v>
      </c>
      <c r="H77" s="24" t="n">
        <f aca="false">H76*RyanSalary*(1+WageGrowth)^MAX(0,H$5-SCorpYear)</f>
        <v>66523.0725</v>
      </c>
      <c r="I77" s="24" t="n">
        <f aca="false">I76*RyanSalary*(1+WageGrowth)^MAX(0,I$5-SCorpYear)</f>
        <v>68851.3800375</v>
      </c>
      <c r="J77" s="24" t="n">
        <f aca="false">J76*RyanSalary*(1+WageGrowth)^MAX(0,J$5-SCorpYear)</f>
        <v>71261.1783388125</v>
      </c>
      <c r="K77" s="24" t="n">
        <f aca="false">K76*RyanSalary*(1+WageGrowth)^MAX(0,K$5-SCorpYear)</f>
        <v>73755.3195806709</v>
      </c>
      <c r="L77" s="24" t="n">
        <f aca="false">L76*RyanSalary*(1+WageGrowth)^MAX(0,L$5-SCorpYear)</f>
        <v>76336.7557659944</v>
      </c>
      <c r="M77" s="24" t="n">
        <f aca="false">M76*RyanSalary*(1+WageGrowth)^MAX(0,M$5-SCorpYear)</f>
        <v>79008.5422178042</v>
      </c>
      <c r="N77" s="24" t="n">
        <f aca="false">N76*RyanSalary*(1+WageGrowth)^MAX(0,N$5-SCorpYear)</f>
        <v>81773.8411954273</v>
      </c>
      <c r="O77" s="24" t="n">
        <f aca="false">O76*RyanSalary*(1+WageGrowth)^MAX(0,O$5-SCorpYear)</f>
        <v>84635.9256372673</v>
      </c>
      <c r="P77" s="24" t="n">
        <f aca="false">P76*RyanSalary*(1+WageGrowth)^MAX(0,P$5-SCorpYear)</f>
        <v>87598.1830345716</v>
      </c>
      <c r="Q77" s="24" t="n">
        <f aca="false">Q76*RyanSalary*(1+WageGrowth)^MAX(0,Q$5-SCorpYear)</f>
        <v>90664.1194407816</v>
      </c>
      <c r="R77" s="24" t="n">
        <f aca="false">R76*RyanSalary*(1+WageGrowth)^MAX(0,R$5-SCorpYear)</f>
        <v>93837.363621209</v>
      </c>
      <c r="S77" s="24" t="n">
        <f aca="false">S76*RyanSalary*(1+WageGrowth)^MAX(0,S$5-SCorpYear)</f>
        <v>97121.6713479513</v>
      </c>
      <c r="T77" s="24" t="n">
        <f aca="false">T76*RyanSalary*(1+WageGrowth)^MAX(0,T$5-SCorpYear)</f>
        <v>100520.92984513</v>
      </c>
      <c r="U77" s="34" t="n">
        <f aca="false">SUM(D77:T77)</f>
        <v>1258261.78256312</v>
      </c>
      <c r="V77" s="1"/>
    </row>
    <row r="78" customFormat="false" ht="15" hidden="false" customHeight="false" outlineLevel="0" collapsed="false">
      <c r="A78" s="1"/>
      <c r="B78" s="6" t="s">
        <v>435</v>
      </c>
      <c r="C78" s="1"/>
      <c r="D78" s="24" t="n">
        <f aca="false">D7+D8-D10-D75</f>
        <v>16474.4333333333</v>
      </c>
      <c r="E78" s="24" t="n">
        <f aca="false">E7+E8-E10-E75</f>
        <v>112126.363333333</v>
      </c>
      <c r="F78" s="24" t="n">
        <f aca="false">F7+F8-F10-F75</f>
        <v>116729.391503333</v>
      </c>
      <c r="G78" s="24" t="n">
        <f aca="false">G7+G8-G10-G75</f>
        <v>-297930.390609617</v>
      </c>
      <c r="H78" s="24" t="n">
        <f aca="false">H7+H8-H10-H75</f>
        <v>149081.302591815</v>
      </c>
      <c r="I78" s="24" t="n">
        <f aca="false">I7+I8-I10-I75</f>
        <v>154961.702242766</v>
      </c>
      <c r="J78" s="24" t="n">
        <f aca="false">J7+J8-J10-J75</f>
        <v>160897.20472899</v>
      </c>
      <c r="K78" s="24" t="n">
        <f aca="false">K7+K8-K10-K75</f>
        <v>166885.930142161</v>
      </c>
      <c r="L78" s="24" t="n">
        <f aca="false">L7+L8-L10-L75</f>
        <v>172925.729456095</v>
      </c>
      <c r="M78" s="24" t="n">
        <f aca="false">M7+M8-M10-M75</f>
        <v>179014.16202028</v>
      </c>
      <c r="N78" s="24" t="n">
        <f aca="false">N7+N8-N10-N75</f>
        <v>-51555.5205724457</v>
      </c>
      <c r="O78" s="24" t="n">
        <f aca="false">O7+O8-O10-O75</f>
        <v>210706.792907051</v>
      </c>
      <c r="P78" s="24" t="n">
        <f aca="false">P7+P8-P10-P75</f>
        <v>218091.71596724</v>
      </c>
      <c r="Q78" s="24" t="n">
        <f aca="false">Q7+Q8-Q10-Q75</f>
        <v>225590.750943145</v>
      </c>
      <c r="R78" s="24" t="n">
        <f aca="false">R7+R8-R10-R75</f>
        <v>231730.114949433</v>
      </c>
      <c r="S78" s="24" t="n">
        <f aca="false">S7+S8-S10-S75</f>
        <v>263376.458843333</v>
      </c>
      <c r="T78" s="24" t="n">
        <f aca="false">T7+T8-T10-T75</f>
        <v>269474.396685097</v>
      </c>
      <c r="U78" s="34" t="n">
        <f aca="false">SUM(D78:T78)</f>
        <v>2298580.53846534</v>
      </c>
      <c r="V78" s="1"/>
    </row>
    <row r="79" customFormat="false" ht="15" hidden="false" customHeight="false" outlineLevel="0" collapsed="false">
      <c r="A79" s="1"/>
      <c r="B79" s="6" t="s">
        <v>436</v>
      </c>
      <c r="C79" s="1"/>
      <c r="D79" s="24" t="n">
        <f aca="false">D77*(SCorpPayroll-0.0765)</f>
        <v>0</v>
      </c>
      <c r="E79" s="24" t="n">
        <f aca="false">E77*(SCorpPayroll-0.0765)</f>
        <v>6390</v>
      </c>
      <c r="F79" s="24" t="n">
        <f aca="false">F77*(SCorpPayroll-0.0765)</f>
        <v>6613.65</v>
      </c>
      <c r="G79" s="24" t="n">
        <f aca="false">G77*(SCorpPayroll-0.0765)</f>
        <v>6845.12775</v>
      </c>
      <c r="H79" s="24" t="n">
        <f aca="false">H77*(SCorpPayroll-0.0765)</f>
        <v>7084.70722125</v>
      </c>
      <c r="I79" s="24" t="n">
        <f aca="false">I77*(SCorpPayroll-0.0765)</f>
        <v>7332.67197399375</v>
      </c>
      <c r="J79" s="24" t="n">
        <f aca="false">J77*(SCorpPayroll-0.0765)</f>
        <v>7589.31549308353</v>
      </c>
      <c r="K79" s="24" t="n">
        <f aca="false">K77*(SCorpPayroll-0.0765)</f>
        <v>7854.94153534145</v>
      </c>
      <c r="L79" s="24" t="n">
        <f aca="false">L77*(SCorpPayroll-0.0765)</f>
        <v>8129.8644890784</v>
      </c>
      <c r="M79" s="24" t="n">
        <f aca="false">M77*(SCorpPayroll-0.0765)</f>
        <v>8414.40974619615</v>
      </c>
      <c r="N79" s="24" t="n">
        <f aca="false">N77*(SCorpPayroll-0.0765)</f>
        <v>8708.91408731301</v>
      </c>
      <c r="O79" s="24" t="n">
        <f aca="false">O77*(SCorpPayroll-0.0765)</f>
        <v>9013.72608036896</v>
      </c>
      <c r="P79" s="24" t="n">
        <f aca="false">P77*(SCorpPayroll-0.0765)</f>
        <v>9329.20649318188</v>
      </c>
      <c r="Q79" s="24" t="n">
        <f aca="false">Q77*(SCorpPayroll-0.0765)</f>
        <v>9655.72872044324</v>
      </c>
      <c r="R79" s="24" t="n">
        <f aca="false">R77*(SCorpPayroll-0.0765)</f>
        <v>9993.67922565875</v>
      </c>
      <c r="S79" s="24" t="n">
        <f aca="false">S77*(SCorpPayroll-0.0765)</f>
        <v>10343.4579985568</v>
      </c>
      <c r="T79" s="24" t="n">
        <f aca="false">T77*(SCorpPayroll-0.0765)</f>
        <v>10705.4790285063</v>
      </c>
      <c r="U79" s="34" t="n">
        <f aca="false">SUM(D79:T79)</f>
        <v>134004.879842972</v>
      </c>
      <c r="V79" s="1"/>
    </row>
    <row r="80" customFormat="false" ht="15" hidden="false" customHeight="false" outlineLevel="0" collapsed="false">
      <c r="A80" s="1"/>
      <c r="B80" s="6" t="s">
        <v>437</v>
      </c>
      <c r="C80" s="1"/>
      <c r="D80" s="24" t="n">
        <f aca="false">IF(D76=1,D77*SCorpPayroll,IF(D78&gt;0,MIN(D78*0.9235,SSBase*(1+WageGrowth)^(D$5-1))*0.124+D78*0.9235*0.029,0))</f>
        <v>2327.76329505</v>
      </c>
      <c r="E80" s="24" t="n">
        <f aca="false">IF(E76=1,E77*SCorpPayroll,IF(E78&gt;0,MIN(E78*0.9235,SSBase*(1+WageGrowth)^(E$5-1))*0.124+E78*0.9235*0.029,0))</f>
        <v>10980</v>
      </c>
      <c r="F80" s="24" t="n">
        <f aca="false">IF(F76=1,F77*SCorpPayroll,IF(F78&gt;0,MIN(F78*0.9235,SSBase*(1+WageGrowth)^(F$5-1))*0.124+F78*0.9235*0.029,0))</f>
        <v>11364.3</v>
      </c>
      <c r="G80" s="24" t="n">
        <f aca="false">IF(G76=1,G77*SCorpPayroll,IF(G78&gt;0,MIN(G78*0.9235,SSBase*(1+WageGrowth)^(G$5-1))*0.124+G78*0.9235*0.029,0))</f>
        <v>11762.0505</v>
      </c>
      <c r="H80" s="24" t="n">
        <f aca="false">IF(H76=1,H77*SCorpPayroll,IF(H78&gt;0,MIN(H78*0.9235,SSBase*(1+WageGrowth)^(H$5-1))*0.124+H78*0.9235*0.029,0))</f>
        <v>12173.7222675</v>
      </c>
      <c r="I80" s="24" t="n">
        <f aca="false">IF(I76=1,I77*SCorpPayroll,IF(I78&gt;0,MIN(I78*0.9235,SSBase*(1+WageGrowth)^(I$5-1))*0.124+I78*0.9235*0.029,0))</f>
        <v>12599.8025468625</v>
      </c>
      <c r="J80" s="24" t="n">
        <f aca="false">IF(J76=1,J77*SCorpPayroll,IF(J78&gt;0,MIN(J78*0.9235,SSBase*(1+WageGrowth)^(J$5-1))*0.124+J78*0.9235*0.029,0))</f>
        <v>13040.7956360027</v>
      </c>
      <c r="K80" s="24" t="n">
        <f aca="false">IF(K76=1,K77*SCorpPayroll,IF(K78&gt;0,MIN(K78*0.9235,SSBase*(1+WageGrowth)^(K$5-1))*0.124+K78*0.9235*0.029,0))</f>
        <v>13497.2234832628</v>
      </c>
      <c r="L80" s="24" t="n">
        <f aca="false">IF(L76=1,L77*SCorpPayroll,IF(L78&gt;0,MIN(L78*0.9235,SSBase*(1+WageGrowth)^(L$5-1))*0.124+L78*0.9235*0.029,0))</f>
        <v>13969.626305177</v>
      </c>
      <c r="M80" s="24" t="n">
        <f aca="false">IF(M76=1,M77*SCorpPayroll,IF(M78&gt;0,MIN(M78*0.9235,SSBase*(1+WageGrowth)^(M$5-1))*0.124+M78*0.9235*0.029,0))</f>
        <v>14458.5632258582</v>
      </c>
      <c r="N80" s="24" t="n">
        <f aca="false">IF(N76=1,N77*SCorpPayroll,IF(N78&gt;0,MIN(N78*0.9235,SSBase*(1+WageGrowth)^(N$5-1))*0.124+N78*0.9235*0.029,0))</f>
        <v>14964.6129387632</v>
      </c>
      <c r="O80" s="24" t="n">
        <f aca="false">IF(O76=1,O77*SCorpPayroll,IF(O78&gt;0,MIN(O78*0.9235,SSBase*(1+WageGrowth)^(O$5-1))*0.124+O78*0.9235*0.029,0))</f>
        <v>15488.3743916199</v>
      </c>
      <c r="P80" s="24" t="n">
        <f aca="false">IF(P76=1,P77*SCorpPayroll,IF(P78&gt;0,MIN(P78*0.9235,SSBase*(1+WageGrowth)^(P$5-1))*0.124+P78*0.9235*0.029,0))</f>
        <v>16030.4674953266</v>
      </c>
      <c r="Q80" s="24" t="n">
        <f aca="false">IF(Q76=1,Q77*SCorpPayroll,IF(Q78&gt;0,MIN(Q78*0.9235,SSBase*(1+WageGrowth)^(Q$5-1))*0.124+Q78*0.9235*0.029,0))</f>
        <v>16591.533857663</v>
      </c>
      <c r="R80" s="24" t="n">
        <f aca="false">IF(R76=1,R77*SCorpPayroll,IF(R78&gt;0,MIN(R78*0.9235,SSBase*(1+WageGrowth)^(R$5-1))*0.124+R78*0.9235*0.029,0))</f>
        <v>17172.2375426812</v>
      </c>
      <c r="S80" s="24" t="n">
        <f aca="false">IF(S76=1,S77*SCorpPayroll,IF(S78&gt;0,MIN(S78*0.9235,SSBase*(1+WageGrowth)^(S$5-1))*0.124+S78*0.9235*0.029,0))</f>
        <v>17773.2658566751</v>
      </c>
      <c r="T80" s="24" t="n">
        <f aca="false">IF(T76=1,T77*SCorpPayroll,IF(T78&gt;0,MIN(T78*0.9235,SSBase*(1+WageGrowth)^(T$5-1))*0.124+T78*0.9235*0.029,0))</f>
        <v>18395.3301616587</v>
      </c>
      <c r="U80" s="34" t="n">
        <f aca="false">SUM(D80:T80)</f>
        <v>232589.669504101</v>
      </c>
      <c r="V80" s="1"/>
    </row>
    <row r="81" customFormat="false" ht="15" hidden="false" customHeight="false" outlineLevel="0" collapsed="false">
      <c r="A81" s="1"/>
      <c r="B81" s="6" t="s">
        <v>438</v>
      </c>
      <c r="C81" s="1"/>
      <c r="D81" s="24" t="n">
        <f aca="false">MAX(0,D78-IF(D76=1,D77+D79,D80/2))*QBIRate</f>
        <v>3062.11033716166</v>
      </c>
      <c r="E81" s="24" t="n">
        <f aca="false">MAX(0,E78-IF(E76=1,E77+E79,E80/2))*QBIRate</f>
        <v>9147.27266666668</v>
      </c>
      <c r="F81" s="24" t="n">
        <f aca="false">MAX(0,F78-IF(F76=1,F77+F79,F80/2))*QBIRate</f>
        <v>9603.14830066667</v>
      </c>
      <c r="G81" s="24" t="n">
        <f aca="false">MAX(0,G78-IF(G76=1,G77+G79,G80/2))*QBIRate</f>
        <v>0</v>
      </c>
      <c r="H81" s="24" t="n">
        <f aca="false">MAX(0,H78-IF(H76=1,H77+H79,H80/2))*QBIRate</f>
        <v>15094.7045741131</v>
      </c>
      <c r="I81" s="24" t="n">
        <f aca="false">MAX(0,I78-IF(I76=1,I77+I79,I80/2))*QBIRate</f>
        <v>15755.5300462544</v>
      </c>
      <c r="J81" s="24" t="n">
        <f aca="false">MAX(0,J78-IF(J76=1,J77+J79,J80/2))*QBIRate</f>
        <v>16409.3421794188</v>
      </c>
      <c r="K81" s="24" t="n">
        <f aca="false">MAX(0,K78-IF(K76=1,K77+K79,K80/2))*QBIRate</f>
        <v>17055.1338052297</v>
      </c>
      <c r="L81" s="24" t="n">
        <f aca="false">MAX(0,L78-IF(L76=1,L77+L79,L80/2))*QBIRate</f>
        <v>17691.8218402045</v>
      </c>
      <c r="M81" s="24" t="n">
        <f aca="false">MAX(0,M78-IF(M76=1,M77+M79,M80/2))*QBIRate</f>
        <v>18318.2420112559</v>
      </c>
      <c r="N81" s="24" t="n">
        <f aca="false">MAX(0,N78-IF(N76=1,N77+N79,N80/2))*QBIRate</f>
        <v>0</v>
      </c>
      <c r="O81" s="24" t="n">
        <f aca="false">MAX(0,O78-IF(O76=1,O77+O79,O80/2))*QBIRate</f>
        <v>23411.4282378829</v>
      </c>
      <c r="P81" s="24" t="n">
        <f aca="false">MAX(0,P78-IF(P76=1,P77+P79,P80/2))*QBIRate</f>
        <v>24232.8652878973</v>
      </c>
      <c r="Q81" s="24" t="n">
        <f aca="false">MAX(0,Q78-IF(Q76=1,Q77+Q79,Q80/2))*QBIRate</f>
        <v>25054.180556384</v>
      </c>
      <c r="R81" s="24" t="n">
        <f aca="false">MAX(0,R78-IF(R76=1,R77+R79,R80/2))*QBIRate</f>
        <v>25579.814420513</v>
      </c>
      <c r="S81" s="24" t="n">
        <f aca="false">MAX(0,S78-IF(S76=1,S77+S79,S80/2))*QBIRate</f>
        <v>31182.265899365</v>
      </c>
      <c r="T81" s="24" t="n">
        <f aca="false">MAX(0,T78-IF(T76=1,T77+T79,T80/2))*QBIRate</f>
        <v>31649.5975622922</v>
      </c>
      <c r="U81" s="34" t="n">
        <f aca="false">SUM(D81:T81)</f>
        <v>283247.457725306</v>
      </c>
      <c r="V81" s="1"/>
    </row>
    <row r="82" customFormat="false" ht="15" hidden="false" customHeight="false" outlineLevel="0" collapsed="false">
      <c r="A82" s="1"/>
      <c r="B82" s="6" t="s">
        <v>439</v>
      </c>
      <c r="C82" s="1"/>
      <c r="D82" s="24" t="n">
        <f aca="false">D78-IF(D76=1,D79,D80/2)-D81</f>
        <v>12248.4413486466</v>
      </c>
      <c r="E82" s="24" t="n">
        <f aca="false">E78-IF(E76=1,E79,E80/2)-E81</f>
        <v>96589.0906666667</v>
      </c>
      <c r="F82" s="24" t="n">
        <f aca="false">F78-IF(F76=1,F79,F80/2)-F81</f>
        <v>100512.593202667</v>
      </c>
      <c r="G82" s="24" t="n">
        <f aca="false">G78-IF(G76=1,G79,G80/2)-G81</f>
        <v>-304775.518359617</v>
      </c>
      <c r="H82" s="24" t="n">
        <f aca="false">H78-IF(H76=1,H79,H80/2)-H81</f>
        <v>126901.890796452</v>
      </c>
      <c r="I82" s="24" t="n">
        <f aca="false">I78-IF(I76=1,I79,I80/2)-I81</f>
        <v>131873.500222518</v>
      </c>
      <c r="J82" s="24" t="n">
        <f aca="false">J78-IF(J76=1,J79,J80/2)-J81</f>
        <v>136898.547056487</v>
      </c>
      <c r="K82" s="24" t="n">
        <f aca="false">K78-IF(K76=1,K79,K80/2)-K81</f>
        <v>141975.85480159</v>
      </c>
      <c r="L82" s="24" t="n">
        <f aca="false">L78-IF(L76=1,L79,L80/2)-L81</f>
        <v>147104.043126812</v>
      </c>
      <c r="M82" s="24" t="n">
        <f aca="false">M78-IF(M76=1,M79,M80/2)-M81</f>
        <v>152281.510262828</v>
      </c>
      <c r="N82" s="24" t="n">
        <f aca="false">N78-IF(N76=1,N79,N80/2)-N81</f>
        <v>-60264.4346597587</v>
      </c>
      <c r="O82" s="24" t="n">
        <f aca="false">O78-IF(O76=1,O79,O80/2)-O81</f>
        <v>178281.638588799</v>
      </c>
      <c r="P82" s="24" t="n">
        <f aca="false">P78-IF(P76=1,P79,P80/2)-P81</f>
        <v>184529.644186161</v>
      </c>
      <c r="Q82" s="24" t="n">
        <f aca="false">Q78-IF(Q76=1,Q79,Q80/2)-Q81</f>
        <v>190880.841666318</v>
      </c>
      <c r="R82" s="24" t="n">
        <f aca="false">R78-IF(R76=1,R79,R80/2)-R81</f>
        <v>196156.621303261</v>
      </c>
      <c r="S82" s="24" t="n">
        <f aca="false">S78-IF(S76=1,S79,S80/2)-S81</f>
        <v>221850.734945411</v>
      </c>
      <c r="T82" s="24" t="n">
        <f aca="false">T78-IF(T76=1,T79,T80/2)-T81</f>
        <v>227119.320094299</v>
      </c>
      <c r="U82" s="34" t="n">
        <f aca="false">SUM(D82:T82)</f>
        <v>1880164.31924954</v>
      </c>
      <c r="V82" s="1"/>
    </row>
    <row r="83" customFormat="false" ht="15" hidden="false" customHeight="false" outlineLevel="0" collapsed="false">
      <c r="A83" s="1"/>
      <c r="B83" s="6" t="s">
        <v>405</v>
      </c>
      <c r="C83" s="1"/>
      <c r="D83" s="24" t="n">
        <f aca="false">0</f>
        <v>0</v>
      </c>
      <c r="E83" s="24" t="n">
        <f aca="false">D86</f>
        <v>0</v>
      </c>
      <c r="F83" s="24" t="n">
        <f aca="false">E86</f>
        <v>0</v>
      </c>
      <c r="G83" s="24" t="n">
        <f aca="false">F86</f>
        <v>0</v>
      </c>
      <c r="H83" s="24" t="n">
        <f aca="false">G86</f>
        <v>254775.518359617</v>
      </c>
      <c r="I83" s="24" t="n">
        <f aca="false">H86</f>
        <v>127873.627563164</v>
      </c>
      <c r="J83" s="24" t="n">
        <f aca="false">I86</f>
        <v>0</v>
      </c>
      <c r="K83" s="24" t="n">
        <f aca="false">J86</f>
        <v>0</v>
      </c>
      <c r="L83" s="24" t="n">
        <f aca="false">K86</f>
        <v>0</v>
      </c>
      <c r="M83" s="24" t="n">
        <f aca="false">L86</f>
        <v>0</v>
      </c>
      <c r="N83" s="24" t="n">
        <f aca="false">M86</f>
        <v>0</v>
      </c>
      <c r="O83" s="24" t="n">
        <f aca="false">N86</f>
        <v>10264.4346597587</v>
      </c>
      <c r="P83" s="24" t="n">
        <f aca="false">O86</f>
        <v>0</v>
      </c>
      <c r="Q83" s="24" t="n">
        <f aca="false">P86</f>
        <v>0</v>
      </c>
      <c r="R83" s="24" t="n">
        <f aca="false">Q86</f>
        <v>0</v>
      </c>
      <c r="S83" s="24" t="n">
        <f aca="false">R86</f>
        <v>0</v>
      </c>
      <c r="T83" s="24" t="n">
        <f aca="false">S86</f>
        <v>0</v>
      </c>
      <c r="U83" s="1"/>
      <c r="V83" s="1"/>
    </row>
    <row r="84" customFormat="false" ht="15" hidden="false" customHeight="false" outlineLevel="0" collapsed="false">
      <c r="A84" s="1"/>
      <c r="B84" s="6" t="s">
        <v>406</v>
      </c>
      <c r="C84" s="1"/>
      <c r="D84" s="24" t="n">
        <f aca="false">MIN(D83,MAX(0,D82))</f>
        <v>0</v>
      </c>
      <c r="E84" s="24" t="n">
        <f aca="false">MIN(E83,MAX(0,E82))</f>
        <v>0</v>
      </c>
      <c r="F84" s="24" t="n">
        <f aca="false">MIN(F83,MAX(0,F82))</f>
        <v>0</v>
      </c>
      <c r="G84" s="24" t="n">
        <f aca="false">MIN(G83,MAX(0,G82))</f>
        <v>0</v>
      </c>
      <c r="H84" s="24" t="n">
        <f aca="false">MIN(H83,MAX(0,H82))</f>
        <v>126901.890796452</v>
      </c>
      <c r="I84" s="24" t="n">
        <f aca="false">MIN(I83,MAX(0,I82))</f>
        <v>127873.627563164</v>
      </c>
      <c r="J84" s="24" t="n">
        <f aca="false">MIN(J83,MAX(0,J82))</f>
        <v>0</v>
      </c>
      <c r="K84" s="24" t="n">
        <f aca="false">MIN(K83,MAX(0,K82))</f>
        <v>0</v>
      </c>
      <c r="L84" s="24" t="n">
        <f aca="false">MIN(L83,MAX(0,L82))</f>
        <v>0</v>
      </c>
      <c r="M84" s="24" t="n">
        <f aca="false">MIN(M83,MAX(0,M82))</f>
        <v>0</v>
      </c>
      <c r="N84" s="24" t="n">
        <f aca="false">MIN(N83,MAX(0,N82))</f>
        <v>0</v>
      </c>
      <c r="O84" s="24" t="n">
        <f aca="false">MIN(O83,MAX(0,O82))</f>
        <v>10264.4346597587</v>
      </c>
      <c r="P84" s="24" t="n">
        <f aca="false">MIN(P83,MAX(0,P82))</f>
        <v>0</v>
      </c>
      <c r="Q84" s="24" t="n">
        <f aca="false">MIN(Q83,MAX(0,Q82))</f>
        <v>0</v>
      </c>
      <c r="R84" s="24" t="n">
        <f aca="false">MIN(R83,MAX(0,R82))</f>
        <v>0</v>
      </c>
      <c r="S84" s="24" t="n">
        <f aca="false">MIN(S83,MAX(0,S82))</f>
        <v>0</v>
      </c>
      <c r="T84" s="24" t="n">
        <f aca="false">MIN(T83,MAX(0,T82))</f>
        <v>0</v>
      </c>
      <c r="U84" s="34" t="n">
        <f aca="false">SUM(D84:T84)</f>
        <v>265039.953019375</v>
      </c>
      <c r="V84" s="1"/>
    </row>
    <row r="85" customFormat="false" ht="15" hidden="false" customHeight="false" outlineLevel="0" collapsed="false">
      <c r="A85" s="1"/>
      <c r="B85" s="6" t="s">
        <v>407</v>
      </c>
      <c r="C85" s="1"/>
      <c r="D85" s="24" t="n">
        <f aca="false">IF(D82&lt;0,MIN(-D82,MIN(RyanOtherInc,EBLSingle)),0)</f>
        <v>0</v>
      </c>
      <c r="E85" s="24" t="n">
        <f aca="false">IF(E82&lt;0,MIN(-E82,MIN(RyanOtherInc,EBLSingle)),0)</f>
        <v>0</v>
      </c>
      <c r="F85" s="24" t="n">
        <f aca="false">IF(F82&lt;0,MIN(-F82,MIN(RyanOtherInc,EBLSingle)),0)</f>
        <v>0</v>
      </c>
      <c r="G85" s="24" t="n">
        <f aca="false">IF(G82&lt;0,MIN(-G82,MIN(RyanOtherInc,EBLSingle)),0)</f>
        <v>50000</v>
      </c>
      <c r="H85" s="24" t="n">
        <f aca="false">IF(H82&lt;0,MIN(-H82,MIN(RyanOtherInc,EBLSingle)),0)</f>
        <v>0</v>
      </c>
      <c r="I85" s="24" t="n">
        <f aca="false">IF(I82&lt;0,MIN(-I82,MIN(RyanOtherInc,EBLSingle)),0)</f>
        <v>0</v>
      </c>
      <c r="J85" s="24" t="n">
        <f aca="false">IF(J82&lt;0,MIN(-J82,MIN(RyanOtherInc,EBLSingle)),0)</f>
        <v>0</v>
      </c>
      <c r="K85" s="24" t="n">
        <f aca="false">IF(K82&lt;0,MIN(-K82,MIN(RyanOtherInc,EBLSingle)),0)</f>
        <v>0</v>
      </c>
      <c r="L85" s="24" t="n">
        <f aca="false">IF(L82&lt;0,MIN(-L82,MIN(RyanOtherInc,EBLSingle)),0)</f>
        <v>0</v>
      </c>
      <c r="M85" s="24" t="n">
        <f aca="false">IF(M82&lt;0,MIN(-M82,MIN(RyanOtherInc,EBLSingle)),0)</f>
        <v>0</v>
      </c>
      <c r="N85" s="24" t="n">
        <f aca="false">IF(N82&lt;0,MIN(-N82,MIN(RyanOtherInc,EBLSingle)),0)</f>
        <v>50000</v>
      </c>
      <c r="O85" s="24" t="n">
        <f aca="false">IF(O82&lt;0,MIN(-O82,MIN(RyanOtherInc,EBLSingle)),0)</f>
        <v>0</v>
      </c>
      <c r="P85" s="24" t="n">
        <f aca="false">IF(P82&lt;0,MIN(-P82,MIN(RyanOtherInc,EBLSingle)),0)</f>
        <v>0</v>
      </c>
      <c r="Q85" s="24" t="n">
        <f aca="false">IF(Q82&lt;0,MIN(-Q82,MIN(RyanOtherInc,EBLSingle)),0)</f>
        <v>0</v>
      </c>
      <c r="R85" s="24" t="n">
        <f aca="false">IF(R82&lt;0,MIN(-R82,MIN(RyanOtherInc,EBLSingle)),0)</f>
        <v>0</v>
      </c>
      <c r="S85" s="24" t="n">
        <f aca="false">IF(S82&lt;0,MIN(-S82,MIN(RyanOtherInc,EBLSingle)),0)</f>
        <v>0</v>
      </c>
      <c r="T85" s="24" t="n">
        <f aca="false">IF(T82&lt;0,MIN(-T82,MIN(RyanOtherInc,EBLSingle)),0)</f>
        <v>0</v>
      </c>
      <c r="U85" s="34" t="n">
        <f aca="false">SUM(D85:T85)</f>
        <v>100000</v>
      </c>
      <c r="V85" s="1"/>
    </row>
    <row r="86" customFormat="false" ht="15" hidden="false" customHeight="false" outlineLevel="0" collapsed="false">
      <c r="A86" s="1"/>
      <c r="B86" s="6" t="s">
        <v>408</v>
      </c>
      <c r="C86" s="1"/>
      <c r="D86" s="24" t="n">
        <f aca="false">D83-D84+MAX(0,-D82)-D85</f>
        <v>0</v>
      </c>
      <c r="E86" s="24" t="n">
        <f aca="false">E83-E84+MAX(0,-E82)-E85</f>
        <v>0</v>
      </c>
      <c r="F86" s="24" t="n">
        <f aca="false">F83-F84+MAX(0,-F82)-F85</f>
        <v>0</v>
      </c>
      <c r="G86" s="24" t="n">
        <f aca="false">G83-G84+MAX(0,-G82)-G85</f>
        <v>254775.518359617</v>
      </c>
      <c r="H86" s="24" t="n">
        <f aca="false">H83-H84+MAX(0,-H82)-H85</f>
        <v>127873.627563164</v>
      </c>
      <c r="I86" s="24" t="n">
        <f aca="false">I83-I84+MAX(0,-I82)-I85</f>
        <v>0</v>
      </c>
      <c r="J86" s="24" t="n">
        <f aca="false">J83-J84+MAX(0,-J82)-J85</f>
        <v>0</v>
      </c>
      <c r="K86" s="24" t="n">
        <f aca="false">K83-K84+MAX(0,-K82)-K85</f>
        <v>0</v>
      </c>
      <c r="L86" s="24" t="n">
        <f aca="false">L83-L84+MAX(0,-L82)-L85</f>
        <v>0</v>
      </c>
      <c r="M86" s="24" t="n">
        <f aca="false">M83-M84+MAX(0,-M82)-M85</f>
        <v>0</v>
      </c>
      <c r="N86" s="24" t="n">
        <f aca="false">N83-N84+MAX(0,-N82)-N85</f>
        <v>10264.4346597587</v>
      </c>
      <c r="O86" s="24" t="n">
        <f aca="false">O83-O84+MAX(0,-O82)-O85</f>
        <v>0</v>
      </c>
      <c r="P86" s="24" t="n">
        <f aca="false">P83-P84+MAX(0,-P82)-P85</f>
        <v>0</v>
      </c>
      <c r="Q86" s="24" t="n">
        <f aca="false">Q83-Q84+MAX(0,-Q82)-Q85</f>
        <v>0</v>
      </c>
      <c r="R86" s="24" t="n">
        <f aca="false">R83-R84+MAX(0,-R82)-R85</f>
        <v>0</v>
      </c>
      <c r="S86" s="24" t="n">
        <f aca="false">S83-S84+MAX(0,-S82)-S85</f>
        <v>0</v>
      </c>
      <c r="T86" s="24" t="n">
        <f aca="false">T83-T84+MAX(0,-T82)-T85</f>
        <v>0</v>
      </c>
      <c r="U86" s="1"/>
      <c r="V86" s="1"/>
    </row>
    <row r="87" customFormat="false" ht="15" hidden="false" customHeight="false" outlineLevel="0" collapsed="false">
      <c r="A87" s="1"/>
      <c r="B87" s="6" t="s">
        <v>409</v>
      </c>
      <c r="C87" s="1"/>
      <c r="D87" s="24" t="n">
        <f aca="false">(MAX(0,D82)-D84-D85)*RyanFed</f>
        <v>2694.65709670226</v>
      </c>
      <c r="E87" s="24" t="n">
        <f aca="false">(MAX(0,E82)-E84-E85)*RyanFed</f>
        <v>21249.5999466667</v>
      </c>
      <c r="F87" s="24" t="n">
        <f aca="false">(MAX(0,F82)-F84-F85)*RyanFed</f>
        <v>22112.7705045867</v>
      </c>
      <c r="G87" s="24" t="n">
        <f aca="false">(MAX(0,G82)-G84-G85)*RyanFed</f>
        <v>-11000</v>
      </c>
      <c r="H87" s="24" t="n">
        <f aca="false">(MAX(0,H82)-H84-H85)*RyanFed</f>
        <v>0</v>
      </c>
      <c r="I87" s="24" t="n">
        <f aca="false">(MAX(0,I82)-I84-I85)*RyanFed</f>
        <v>879.971985057711</v>
      </c>
      <c r="J87" s="24" t="n">
        <f aca="false">(MAX(0,J82)-J84-J85)*RyanFed</f>
        <v>30117.6803524272</v>
      </c>
      <c r="K87" s="24" t="n">
        <f aca="false">(MAX(0,K82)-K84-K85)*RyanFed</f>
        <v>31234.6880563497</v>
      </c>
      <c r="L87" s="24" t="n">
        <f aca="false">(MAX(0,L82)-L84-L85)*RyanFed</f>
        <v>32362.8894878987</v>
      </c>
      <c r="M87" s="24" t="n">
        <f aca="false">(MAX(0,M82)-M84-M85)*RyanFed</f>
        <v>33501.9322578221</v>
      </c>
      <c r="N87" s="24" t="n">
        <f aca="false">(MAX(0,N82)-N84-N85)*RyanFed</f>
        <v>-11000</v>
      </c>
      <c r="O87" s="24" t="n">
        <f aca="false">(MAX(0,O82)-O84-O85)*RyanFed</f>
        <v>36963.7848643888</v>
      </c>
      <c r="P87" s="24" t="n">
        <f aca="false">(MAX(0,P82)-P84-P85)*RyanFed</f>
        <v>40596.5217209554</v>
      </c>
      <c r="Q87" s="24" t="n">
        <f aca="false">(MAX(0,Q82)-Q84-Q85)*RyanFed</f>
        <v>41993.7851665899</v>
      </c>
      <c r="R87" s="24" t="n">
        <f aca="false">(MAX(0,R82)-R84-R85)*RyanFed</f>
        <v>43154.4566867174</v>
      </c>
      <c r="S87" s="24" t="n">
        <f aca="false">(MAX(0,S82)-S84-S85)*RyanFed</f>
        <v>48807.1616879905</v>
      </c>
      <c r="T87" s="24" t="n">
        <f aca="false">(MAX(0,T82)-T84-T85)*RyanFed</f>
        <v>49966.2504207457</v>
      </c>
      <c r="U87" s="34" t="n">
        <f aca="false">SUM(D87:T87)</f>
        <v>413636.150234899</v>
      </c>
      <c r="V87" s="1"/>
    </row>
    <row r="88" customFormat="false" ht="15" hidden="false" customHeight="false" outlineLevel="0" collapsed="false">
      <c r="A88" s="1"/>
      <c r="B88" s="6" t="s">
        <v>440</v>
      </c>
      <c r="C88" s="1"/>
      <c r="D88" s="24" t="n">
        <f aca="false">D7+D8-D11-D75-D79</f>
        <v>68641.1</v>
      </c>
      <c r="E88" s="24" t="n">
        <f aca="false">E7+E8-E11-E75-E79</f>
        <v>92869.6966666667</v>
      </c>
      <c r="F88" s="24" t="n">
        <f aca="false">F7+F8-F11-F75-F79</f>
        <v>101729.074836667</v>
      </c>
      <c r="G88" s="24" t="n">
        <f aca="false">G7+G8-G11-G75-G79</f>
        <v>4927.44035371671</v>
      </c>
      <c r="H88" s="24" t="n">
        <f aca="false">H7+H8-H11-H75-H79</f>
        <v>10137.2785518987</v>
      </c>
      <c r="I88" s="24" t="n">
        <f aca="false">I7+I8-I11-I75-I79</f>
        <v>68249.9735109052</v>
      </c>
      <c r="J88" s="24" t="n">
        <f aca="false">J7+J8-J11-J75-J79</f>
        <v>106223.38851452</v>
      </c>
      <c r="K88" s="24" t="n">
        <f aca="false">K7+K8-K11-K75-K79</f>
        <v>111946.487885433</v>
      </c>
      <c r="L88" s="24" t="n">
        <f aca="false">L7+L8-L11-L75-L79</f>
        <v>140420.28127299</v>
      </c>
      <c r="M88" s="24" t="n">
        <f aca="false">M7+M8-M11-M75-M79</f>
        <v>168933.085607417</v>
      </c>
      <c r="N88" s="24" t="n">
        <f aca="false">N7+N8-N11-N75-N79</f>
        <v>107432.092188679</v>
      </c>
      <c r="O88" s="24" t="n">
        <f aca="false">O7+O8-O11-O75-O79</f>
        <v>132281.122753973</v>
      </c>
      <c r="P88" s="24" t="n">
        <f aca="false">P7+P8-P11-P75-P79</f>
        <v>166448.676363766</v>
      </c>
      <c r="Q88" s="24" t="n">
        <f aca="false">Q7+Q8-Q11-Q75-Q79</f>
        <v>189880.05568986</v>
      </c>
      <c r="R88" s="24" t="n">
        <f aca="false">R7+R8-R11-R75-R79</f>
        <v>195681.469190932</v>
      </c>
      <c r="S88" s="24" t="n">
        <f aca="false">S7+S8-S11-S75-S79</f>
        <v>240005.517578356</v>
      </c>
      <c r="T88" s="24" t="n">
        <f aca="false">T7+T8-T11-T75-T79</f>
        <v>258768.917656591</v>
      </c>
      <c r="U88" s="34" t="n">
        <f aca="false">SUM(D88:T88)</f>
        <v>2164575.65862237</v>
      </c>
      <c r="V88" s="1"/>
    </row>
    <row r="89" customFormat="false" ht="15" hidden="false" customHeight="false" outlineLevel="0" collapsed="false">
      <c r="A89" s="1"/>
      <c r="B89" s="6" t="s">
        <v>411</v>
      </c>
      <c r="C89" s="1"/>
      <c r="D89" s="24" t="n">
        <f aca="false">0</f>
        <v>0</v>
      </c>
      <c r="E89" s="24" t="n">
        <f aca="false">D92</f>
        <v>0</v>
      </c>
      <c r="F89" s="24" t="n">
        <f aca="false">E92</f>
        <v>0</v>
      </c>
      <c r="G89" s="24" t="n">
        <f aca="false">F92</f>
        <v>0</v>
      </c>
      <c r="H89" s="24" t="n">
        <f aca="false">G92</f>
        <v>0</v>
      </c>
      <c r="I89" s="24" t="n">
        <f aca="false">H92</f>
        <v>0</v>
      </c>
      <c r="J89" s="24" t="n">
        <f aca="false">I92</f>
        <v>0</v>
      </c>
      <c r="K89" s="24" t="n">
        <f aca="false">J92</f>
        <v>0</v>
      </c>
      <c r="L89" s="24" t="n">
        <f aca="false">K92</f>
        <v>0</v>
      </c>
      <c r="M89" s="24" t="n">
        <f aca="false">L92</f>
        <v>0</v>
      </c>
      <c r="N89" s="24" t="n">
        <f aca="false">M92</f>
        <v>0</v>
      </c>
      <c r="O89" s="24" t="n">
        <f aca="false">N92</f>
        <v>0</v>
      </c>
      <c r="P89" s="24" t="n">
        <f aca="false">O92</f>
        <v>0</v>
      </c>
      <c r="Q89" s="24" t="n">
        <f aca="false">P92</f>
        <v>0</v>
      </c>
      <c r="R89" s="24" t="n">
        <f aca="false">Q92</f>
        <v>0</v>
      </c>
      <c r="S89" s="24" t="n">
        <f aca="false">R92</f>
        <v>0</v>
      </c>
      <c r="T89" s="24" t="n">
        <f aca="false">S92</f>
        <v>0</v>
      </c>
      <c r="U89" s="1"/>
      <c r="V89" s="1"/>
    </row>
    <row r="90" customFormat="false" ht="15" hidden="false" customHeight="false" outlineLevel="0" collapsed="false">
      <c r="A90" s="1"/>
      <c r="B90" s="6" t="s">
        <v>412</v>
      </c>
      <c r="C90" s="1"/>
      <c r="D90" s="24" t="n">
        <f aca="false">MIN(D89,MAX(0,D88))</f>
        <v>0</v>
      </c>
      <c r="E90" s="24" t="n">
        <f aca="false">MIN(E89,MAX(0,E88))</f>
        <v>0</v>
      </c>
      <c r="F90" s="24" t="n">
        <f aca="false">MIN(F89,MAX(0,F88))</f>
        <v>0</v>
      </c>
      <c r="G90" s="24" t="n">
        <f aca="false">MIN(G89,MAX(0,G88))</f>
        <v>0</v>
      </c>
      <c r="H90" s="24" t="n">
        <f aca="false">MIN(H89,MAX(0,H88))</f>
        <v>0</v>
      </c>
      <c r="I90" s="24" t="n">
        <f aca="false">MIN(I89,MAX(0,I88))</f>
        <v>0</v>
      </c>
      <c r="J90" s="24" t="n">
        <f aca="false">MIN(J89,MAX(0,J88))</f>
        <v>0</v>
      </c>
      <c r="K90" s="24" t="n">
        <f aca="false">MIN(K89,MAX(0,K88))</f>
        <v>0</v>
      </c>
      <c r="L90" s="24" t="n">
        <f aca="false">MIN(L89,MAX(0,L88))</f>
        <v>0</v>
      </c>
      <c r="M90" s="24" t="n">
        <f aca="false">MIN(M89,MAX(0,M88))</f>
        <v>0</v>
      </c>
      <c r="N90" s="24" t="n">
        <f aca="false">MIN(N89,MAX(0,N88))</f>
        <v>0</v>
      </c>
      <c r="O90" s="24" t="n">
        <f aca="false">MIN(O89,MAX(0,O88))</f>
        <v>0</v>
      </c>
      <c r="P90" s="24" t="n">
        <f aca="false">MIN(P89,MAX(0,P88))</f>
        <v>0</v>
      </c>
      <c r="Q90" s="24" t="n">
        <f aca="false">MIN(Q89,MAX(0,Q88))</f>
        <v>0</v>
      </c>
      <c r="R90" s="24" t="n">
        <f aca="false">MIN(R89,MAX(0,R88))</f>
        <v>0</v>
      </c>
      <c r="S90" s="24" t="n">
        <f aca="false">MIN(S89,MAX(0,S88))</f>
        <v>0</v>
      </c>
      <c r="T90" s="24" t="n">
        <f aca="false">MIN(T89,MAX(0,T88))</f>
        <v>0</v>
      </c>
      <c r="U90" s="34" t="n">
        <f aca="false">SUM(D90:T90)</f>
        <v>0</v>
      </c>
      <c r="V90" s="1"/>
    </row>
    <row r="91" customFormat="false" ht="15" hidden="false" customHeight="false" outlineLevel="0" collapsed="false">
      <c r="A91" s="1"/>
      <c r="B91" s="6" t="s">
        <v>413</v>
      </c>
      <c r="C91" s="1"/>
      <c r="D91" s="24" t="n">
        <f aca="false">IF(D88&lt;0,MIN(-D88,0),0)</f>
        <v>0</v>
      </c>
      <c r="E91" s="24" t="n">
        <f aca="false">IF(E88&lt;0,MIN(-E88,0),0)</f>
        <v>0</v>
      </c>
      <c r="F91" s="24" t="n">
        <f aca="false">IF(F88&lt;0,MIN(-F88,0),0)</f>
        <v>0</v>
      </c>
      <c r="G91" s="24" t="n">
        <f aca="false">IF(G88&lt;0,MIN(-G88,0),0)</f>
        <v>0</v>
      </c>
      <c r="H91" s="24" t="n">
        <f aca="false">IF(H88&lt;0,MIN(-H88,0),0)</f>
        <v>0</v>
      </c>
      <c r="I91" s="24" t="n">
        <f aca="false">IF(I88&lt;0,MIN(-I88,0),0)</f>
        <v>0</v>
      </c>
      <c r="J91" s="24" t="n">
        <f aca="false">IF(J88&lt;0,MIN(-J88,0),0)</f>
        <v>0</v>
      </c>
      <c r="K91" s="24" t="n">
        <f aca="false">IF(K88&lt;0,MIN(-K88,0),0)</f>
        <v>0</v>
      </c>
      <c r="L91" s="24" t="n">
        <f aca="false">IF(L88&lt;0,MIN(-L88,0),0)</f>
        <v>0</v>
      </c>
      <c r="M91" s="24" t="n">
        <f aca="false">IF(M88&lt;0,MIN(-M88,0),0)</f>
        <v>0</v>
      </c>
      <c r="N91" s="24" t="n">
        <f aca="false">IF(N88&lt;0,MIN(-N88,0),0)</f>
        <v>0</v>
      </c>
      <c r="O91" s="24" t="n">
        <f aca="false">IF(O88&lt;0,MIN(-O88,0),0)</f>
        <v>0</v>
      </c>
      <c r="P91" s="24" t="n">
        <f aca="false">IF(P88&lt;0,MIN(-P88,0),0)</f>
        <v>0</v>
      </c>
      <c r="Q91" s="24" t="n">
        <f aca="false">IF(Q88&lt;0,MIN(-Q88,0),0)</f>
        <v>0</v>
      </c>
      <c r="R91" s="24" t="n">
        <f aca="false">IF(R88&lt;0,MIN(-R88,0),0)</f>
        <v>0</v>
      </c>
      <c r="S91" s="24" t="n">
        <f aca="false">IF(S88&lt;0,MIN(-S88,0),0)</f>
        <v>0</v>
      </c>
      <c r="T91" s="24" t="n">
        <f aca="false">IF(T88&lt;0,MIN(-T88,0),0)</f>
        <v>0</v>
      </c>
      <c r="U91" s="34" t="n">
        <f aca="false">SUM(D91:T91)</f>
        <v>0</v>
      </c>
      <c r="V91" s="1"/>
    </row>
    <row r="92" customFormat="false" ht="15" hidden="false" customHeight="false" outlineLevel="0" collapsed="false">
      <c r="A92" s="1"/>
      <c r="B92" s="6" t="s">
        <v>414</v>
      </c>
      <c r="C92" s="1"/>
      <c r="D92" s="24" t="n">
        <f aca="false">D89-D90+MAX(0,-D88)-D91</f>
        <v>0</v>
      </c>
      <c r="E92" s="24" t="n">
        <f aca="false">E89-E90+MAX(0,-E88)-E91</f>
        <v>0</v>
      </c>
      <c r="F92" s="24" t="n">
        <f aca="false">F89-F90+MAX(0,-F88)-F91</f>
        <v>0</v>
      </c>
      <c r="G92" s="24" t="n">
        <f aca="false">G89-G90+MAX(0,-G88)-G91</f>
        <v>0</v>
      </c>
      <c r="H92" s="24" t="n">
        <f aca="false">H89-H90+MAX(0,-H88)-H91</f>
        <v>0</v>
      </c>
      <c r="I92" s="24" t="n">
        <f aca="false">I89-I90+MAX(0,-I88)-I91</f>
        <v>0</v>
      </c>
      <c r="J92" s="24" t="n">
        <f aca="false">J89-J90+MAX(0,-J88)-J91</f>
        <v>0</v>
      </c>
      <c r="K92" s="24" t="n">
        <f aca="false">K89-K90+MAX(0,-K88)-K91</f>
        <v>0</v>
      </c>
      <c r="L92" s="24" t="n">
        <f aca="false">L89-L90+MAX(0,-L88)-L91</f>
        <v>0</v>
      </c>
      <c r="M92" s="24" t="n">
        <f aca="false">M89-M90+MAX(0,-M88)-M91</f>
        <v>0</v>
      </c>
      <c r="N92" s="24" t="n">
        <f aca="false">N89-N90+MAX(0,-N88)-N91</f>
        <v>0</v>
      </c>
      <c r="O92" s="24" t="n">
        <f aca="false">O89-O90+MAX(0,-O88)-O91</f>
        <v>0</v>
      </c>
      <c r="P92" s="24" t="n">
        <f aca="false">P89-P90+MAX(0,-P88)-P91</f>
        <v>0</v>
      </c>
      <c r="Q92" s="24" t="n">
        <f aca="false">Q89-Q90+MAX(0,-Q88)-Q91</f>
        <v>0</v>
      </c>
      <c r="R92" s="24" t="n">
        <f aca="false">R89-R90+MAX(0,-R88)-R91</f>
        <v>0</v>
      </c>
      <c r="S92" s="24" t="n">
        <f aca="false">S89-S90+MAX(0,-S88)-S91</f>
        <v>0</v>
      </c>
      <c r="T92" s="24" t="n">
        <f aca="false">T89-T90+MAX(0,-T88)-T91</f>
        <v>0</v>
      </c>
      <c r="U92" s="1"/>
      <c r="V92" s="1"/>
    </row>
    <row r="93" customFormat="false" ht="15" hidden="false" customHeight="false" outlineLevel="0" collapsed="false">
      <c r="A93" s="1"/>
      <c r="B93" s="6" t="s">
        <v>415</v>
      </c>
      <c r="C93" s="1"/>
      <c r="D93" s="24" t="n">
        <f aca="false">(MAX(0,D88)-D90-D91)*RyanNJ</f>
        <v>4372.43807</v>
      </c>
      <c r="E93" s="24" t="n">
        <f aca="false">(MAX(0,E88)-E90-E91)*RyanNJ</f>
        <v>5915.79967766667</v>
      </c>
      <c r="F93" s="24" t="n">
        <f aca="false">(MAX(0,F88)-F90-F91)*RyanNJ</f>
        <v>6480.14206709567</v>
      </c>
      <c r="G93" s="24" t="n">
        <f aca="false">(MAX(0,G88)-G90-G91)*RyanNJ</f>
        <v>313.877950531755</v>
      </c>
      <c r="H93" s="24" t="n">
        <f aca="false">(MAX(0,H88)-H90-H91)*RyanNJ</f>
        <v>645.744643755947</v>
      </c>
      <c r="I93" s="24" t="n">
        <f aca="false">(MAX(0,I88)-I90-I91)*RyanNJ</f>
        <v>4347.52331264466</v>
      </c>
      <c r="J93" s="24" t="n">
        <f aca="false">(MAX(0,J88)-J90-J91)*RyanNJ</f>
        <v>6766.4298483749</v>
      </c>
      <c r="K93" s="24" t="n">
        <f aca="false">(MAX(0,K88)-K90-K91)*RyanNJ</f>
        <v>7130.99127830205</v>
      </c>
      <c r="L93" s="24" t="n">
        <f aca="false">(MAX(0,L88)-L90-L91)*RyanNJ</f>
        <v>8944.77191708948</v>
      </c>
      <c r="M93" s="24" t="n">
        <f aca="false">(MAX(0,M88)-M90-M91)*RyanNJ</f>
        <v>10761.0375531925</v>
      </c>
      <c r="N93" s="24" t="n">
        <f aca="false">(MAX(0,N88)-N90-N91)*RyanNJ</f>
        <v>6843.42427241885</v>
      </c>
      <c r="O93" s="24" t="n">
        <f aca="false">(MAX(0,O88)-O90-O91)*RyanNJ</f>
        <v>8426.30751942809</v>
      </c>
      <c r="P93" s="24" t="n">
        <f aca="false">(MAX(0,P88)-P90-P91)*RyanNJ</f>
        <v>10602.7806843719</v>
      </c>
      <c r="Q93" s="24" t="n">
        <f aca="false">(MAX(0,Q88)-Q90-Q91)*RyanNJ</f>
        <v>12095.3595474441</v>
      </c>
      <c r="R93" s="24" t="n">
        <f aca="false">(MAX(0,R88)-R90-R91)*RyanNJ</f>
        <v>12464.9095874624</v>
      </c>
      <c r="S93" s="24" t="n">
        <f aca="false">(MAX(0,S88)-S90-S91)*RyanNJ</f>
        <v>15288.3514697413</v>
      </c>
      <c r="T93" s="24" t="n">
        <f aca="false">(MAX(0,T88)-T90-T91)*RyanNJ</f>
        <v>16483.5800547248</v>
      </c>
      <c r="U93" s="34" t="n">
        <f aca="false">SUM(D93:T93)</f>
        <v>137883.469454245</v>
      </c>
      <c r="V93" s="1"/>
    </row>
    <row r="94" customFormat="false" ht="15" hidden="false" customHeight="false" outlineLevel="0" collapsed="false">
      <c r="A94" s="1"/>
      <c r="B94" s="9" t="s">
        <v>441</v>
      </c>
      <c r="C94" s="1"/>
      <c r="D94" s="34" t="n">
        <f aca="false">D87+D80+D93</f>
        <v>9394.85846175226</v>
      </c>
      <c r="E94" s="34" t="n">
        <f aca="false">E87+E80+E93</f>
        <v>38145.3996243334</v>
      </c>
      <c r="F94" s="34" t="n">
        <f aca="false">F87+F80+F93</f>
        <v>39957.2125716823</v>
      </c>
      <c r="G94" s="34" t="n">
        <f aca="false">G87+G80+G93</f>
        <v>1075.92845053175</v>
      </c>
      <c r="H94" s="34" t="n">
        <f aca="false">H87+H80+H93</f>
        <v>12819.4669112559</v>
      </c>
      <c r="I94" s="34" t="n">
        <f aca="false">I87+I80+I93</f>
        <v>17827.2978445649</v>
      </c>
      <c r="J94" s="34" t="n">
        <f aca="false">J87+J80+J93</f>
        <v>49924.9058368048</v>
      </c>
      <c r="K94" s="34" t="n">
        <f aca="false">K87+K80+K93</f>
        <v>51862.9028179145</v>
      </c>
      <c r="L94" s="34" t="n">
        <f aca="false">L87+L80+L93</f>
        <v>55277.2877101652</v>
      </c>
      <c r="M94" s="34" t="n">
        <f aca="false">M87+M80+M93</f>
        <v>58721.5330368727</v>
      </c>
      <c r="N94" s="34" t="n">
        <f aca="false">N87+N80+N93</f>
        <v>10808.037211182</v>
      </c>
      <c r="O94" s="34" t="n">
        <f aca="false">O87+O80+O93</f>
        <v>60878.4667754368</v>
      </c>
      <c r="P94" s="34" t="n">
        <f aca="false">P87+P80+P93</f>
        <v>67229.7699006539</v>
      </c>
      <c r="Q94" s="34" t="n">
        <f aca="false">Q87+Q80+Q93</f>
        <v>70680.678571697</v>
      </c>
      <c r="R94" s="34" t="n">
        <f aca="false">R87+R80+R93</f>
        <v>72791.603816861</v>
      </c>
      <c r="S94" s="34" t="n">
        <f aca="false">S87+S80+S93</f>
        <v>81868.7790144068</v>
      </c>
      <c r="T94" s="34" t="n">
        <f aca="false">T87+T80+T93</f>
        <v>84845.1606371292</v>
      </c>
      <c r="U94" s="34" t="n">
        <f aca="false">SUM(D94:T94)</f>
        <v>784109.289193245</v>
      </c>
      <c r="V94" s="1"/>
    </row>
    <row r="95" customFormat="false" ht="15" hidden="false" customHeight="false" outlineLevel="0" collapsed="false">
      <c r="A95" s="1"/>
      <c r="B95" s="6" t="s">
        <v>442</v>
      </c>
      <c r="C95" s="1"/>
      <c r="D95" s="24" t="n">
        <f aca="false">D75*(1-ParentFed-NIIT-ParentNJ)</f>
        <v>11578.015</v>
      </c>
      <c r="E95" s="24" t="n">
        <f aca="false">E75*(1-ParentFed-NIIT-ParentNJ)</f>
        <v>10698.08586</v>
      </c>
      <c r="F95" s="24" t="n">
        <f aca="false">F75*(1-ParentFed-NIIT-ParentNJ)</f>
        <v>9818.15672</v>
      </c>
      <c r="G95" s="24" t="n">
        <f aca="false">G75*(1-ParentFed-NIIT-ParentNJ)</f>
        <v>8938.22758</v>
      </c>
      <c r="H95" s="24" t="n">
        <f aca="false">H75*(1-ParentFed-NIIT-ParentNJ)</f>
        <v>8058.29844</v>
      </c>
      <c r="I95" s="24" t="n">
        <f aca="false">I75*(1-ParentFed-NIIT-ParentNJ)</f>
        <v>7178.3693</v>
      </c>
      <c r="J95" s="24" t="n">
        <f aca="false">J75*(1-ParentFed-NIIT-ParentNJ)</f>
        <v>6298.44016</v>
      </c>
      <c r="K95" s="24" t="n">
        <f aca="false">K75*(1-ParentFed-NIIT-ParentNJ)</f>
        <v>5418.51102</v>
      </c>
      <c r="L95" s="24" t="n">
        <f aca="false">L75*(1-ParentFed-NIIT-ParentNJ)</f>
        <v>4538.58188</v>
      </c>
      <c r="M95" s="24" t="n">
        <f aca="false">M75*(1-ParentFed-NIIT-ParentNJ)</f>
        <v>3658.65274</v>
      </c>
      <c r="N95" s="24" t="n">
        <f aca="false">N75*(1-ParentFed-NIIT-ParentNJ)</f>
        <v>2778.7236</v>
      </c>
      <c r="O95" s="24" t="n">
        <f aca="false">O75*(1-ParentFed-NIIT-ParentNJ)</f>
        <v>1898.79446</v>
      </c>
      <c r="P95" s="24" t="n">
        <f aca="false">P75*(1-ParentFed-NIIT-ParentNJ)</f>
        <v>1018.86532</v>
      </c>
      <c r="Q95" s="24" t="n">
        <f aca="false">Q75*(1-ParentFed-NIIT-ParentNJ)</f>
        <v>138.93618</v>
      </c>
      <c r="R95" s="24" t="n">
        <f aca="false">R75*(1-ParentFed-NIIT-ParentNJ)</f>
        <v>0</v>
      </c>
      <c r="S95" s="24" t="n">
        <f aca="false">S75*(1-ParentFed-NIIT-ParentNJ)</f>
        <v>0</v>
      </c>
      <c r="T95" s="24" t="n">
        <f aca="false">T75*(1-ParentFed-NIIT-ParentNJ)</f>
        <v>0</v>
      </c>
      <c r="U95" s="34" t="n">
        <f aca="false">SUM(D95:T95)</f>
        <v>82018.65826</v>
      </c>
      <c r="V95" s="1"/>
    </row>
    <row r="96" customFormat="false" ht="15" hidden="false" customHeight="false" outlineLevel="0" collapsed="false">
      <c r="A96" s="1"/>
      <c r="B96" s="9" t="s">
        <v>417</v>
      </c>
      <c r="C96" s="25" t="n">
        <f aca="false">C13</f>
        <v>-480000</v>
      </c>
      <c r="D96" s="34" t="n">
        <f aca="false">D13+D8-D94-D75+D95-D14*ExitTax</f>
        <v>129324.256538248</v>
      </c>
      <c r="E96" s="34" t="n">
        <f aca="false">E13+E8-E94-E75+E95-E14*ExitTax</f>
        <v>110345.716235667</v>
      </c>
      <c r="F96" s="34" t="n">
        <f aca="false">F13+F8-F94-F75+F95-F14*ExitTax</f>
        <v>112257.002318318</v>
      </c>
      <c r="G96" s="34" t="n">
        <f aca="false">G13+G8-G94-G75+G95-G14*ExitTax</f>
        <v>-264401.424813482</v>
      </c>
      <c r="H96" s="34" t="n">
        <f aca="false">H13+H8-H94-H75+H95-H14*ExitTax</f>
        <v>169986.800787226</v>
      </c>
      <c r="I96" s="34" t="n">
        <f aca="false">I13+I8-I94-I75+I95-I14*ExitTax</f>
        <v>169979.440364867</v>
      </c>
      <c r="J96" s="34" t="n">
        <f aca="false">J13+J8-J94-J75+J95-J14*ExitTax</f>
        <v>142937.405718852</v>
      </c>
      <c r="K96" s="34" t="n">
        <f aca="false">K13+K8-K94-K75+K95-K14*ExitTax</f>
        <v>146108.205010913</v>
      </c>
      <c r="L96" s="34" t="n">
        <f aca="false">L13+L8-L94-L75+L95-L14*ExitTax</f>
        <v>147853.690292597</v>
      </c>
      <c r="M96" s="34" t="n">
        <f aca="false">M13+M8-M94-M75+M95-M14*ExitTax</f>
        <v>149617.948390074</v>
      </c>
      <c r="N96" s="34" t="n">
        <f aca="false">N13+N8-N94-N75+N95-N14*ExitTax</f>
        <v>-33918.167516961</v>
      </c>
      <c r="O96" s="34" t="n">
        <f aca="false">O13+O8-O94-O75+O95-O14*ExitTax</f>
        <v>177393.78725828</v>
      </c>
      <c r="P96" s="34" t="n">
        <f aca="false">P13+P8-P94-P75+P95-P14*ExitTax</f>
        <v>177547.478053253</v>
      </c>
      <c r="Q96" s="34" t="n">
        <f aca="false">Q13+Q8-Q94-Q75+Q95-Q14*ExitTax</f>
        <v>180715.675218115</v>
      </c>
      <c r="R96" s="34" t="n">
        <f aca="false">R13+R8-R94-R75+R95-R14*ExitTax</f>
        <v>184605.177799238</v>
      </c>
      <c r="S96" s="34" t="n">
        <f aca="false">S13+S8-S94-S75+S95-S14*ExitTax</f>
        <v>181507.679828926</v>
      </c>
      <c r="T96" s="34" t="n">
        <f aca="false">T13+T8-T94-T75+T95-T14*ExitTax</f>
        <v>400700.734694316</v>
      </c>
      <c r="U96" s="34" t="n">
        <f aca="false">SUM(D96:T96)</f>
        <v>2282561.40617845</v>
      </c>
      <c r="V96" s="1"/>
    </row>
    <row r="97" customFormat="false" ht="15" hidden="false" customHeight="false" outlineLevel="0" collapsed="false">
      <c r="A97" s="1"/>
      <c r="B97" s="9" t="s">
        <v>443</v>
      </c>
      <c r="C97" s="25" t="n">
        <f aca="false">C13+LoanAmt</f>
        <v>20000</v>
      </c>
      <c r="D97" s="34" t="n">
        <f aca="false">D13+D8-D94-D75-D14*ExitTax</f>
        <v>117746.241538248</v>
      </c>
      <c r="E97" s="34" t="n">
        <f aca="false">E13+E8-E94-E75-E14*ExitTax</f>
        <v>99647.6303756667</v>
      </c>
      <c r="F97" s="34" t="n">
        <f aca="false">F13+F8-F94-F75-F14*ExitTax</f>
        <v>102438.845598318</v>
      </c>
      <c r="G97" s="34" t="n">
        <f aca="false">G13+G8-G94-G75-G14*ExitTax</f>
        <v>-273339.652393482</v>
      </c>
      <c r="H97" s="34" t="n">
        <f aca="false">H13+H8-H94-H75-H14*ExitTax</f>
        <v>161928.502347226</v>
      </c>
      <c r="I97" s="34" t="n">
        <f aca="false">I13+I8-I94-I75-I14*ExitTax</f>
        <v>162801.071064867</v>
      </c>
      <c r="J97" s="34" t="n">
        <f aca="false">J13+J8-J94-J75-J14*ExitTax</f>
        <v>136638.965558852</v>
      </c>
      <c r="K97" s="34" t="n">
        <f aca="false">K13+K8-K94-K75-K14*ExitTax</f>
        <v>140689.693990913</v>
      </c>
      <c r="L97" s="34" t="n">
        <f aca="false">L13+L8-L94-L75-L14*ExitTax</f>
        <v>143315.108412597</v>
      </c>
      <c r="M97" s="34" t="n">
        <f aca="false">M13+M8-M94-M75-M14*ExitTax</f>
        <v>145959.295650074</v>
      </c>
      <c r="N97" s="34" t="n">
        <f aca="false">N13+N8-N94-N75-N14*ExitTax</f>
        <v>-36696.891116961</v>
      </c>
      <c r="O97" s="34" t="n">
        <f aca="false">O13+O8-O94-O75-O14*ExitTax</f>
        <v>175494.99279828</v>
      </c>
      <c r="P97" s="34" t="n">
        <f aca="false">P13+P8-P94-P75-P14*ExitTax</f>
        <v>176528.612733253</v>
      </c>
      <c r="Q97" s="34" t="n">
        <f aca="false">Q13+Q8-Q94-Q75-Q14*ExitTax</f>
        <v>180576.739038115</v>
      </c>
      <c r="R97" s="34" t="n">
        <f aca="false">R13+R8-R94-R75-R14*ExitTax</f>
        <v>184605.177799238</v>
      </c>
      <c r="S97" s="34" t="n">
        <f aca="false">S13+S8-S94-S75-S14*ExitTax</f>
        <v>181507.679828926</v>
      </c>
      <c r="T97" s="34" t="n">
        <f aca="false">T13+T8-T94-T75-T14*ExitTax</f>
        <v>400700.734694316</v>
      </c>
      <c r="U97" s="34" t="n">
        <f aca="false">SUM(D97:T97)</f>
        <v>2200542.74791845</v>
      </c>
      <c r="V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customFormat="false" ht="15" hidden="false" customHeight="false" outlineLevel="0" collapsed="false">
      <c r="A99" s="1"/>
      <c r="B99" s="4" t="s">
        <v>444</v>
      </c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customFormat="false" ht="15" hidden="false" customHeight="false" outlineLevel="0" collapsed="false">
      <c r="A100" s="1"/>
      <c r="B100" s="31" t="s">
        <v>445</v>
      </c>
      <c r="C100" s="31" t="s">
        <v>446</v>
      </c>
      <c r="D100" s="31" t="s">
        <v>447</v>
      </c>
      <c r="E100" s="31" t="s">
        <v>448</v>
      </c>
      <c r="F100" s="31" t="s">
        <v>449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customFormat="false" ht="15" hidden="false" customHeight="false" outlineLevel="0" collapsed="false">
      <c r="A101" s="1"/>
      <c r="B101" s="6" t="s">
        <v>26</v>
      </c>
      <c r="C101" s="25" t="n">
        <f aca="false">C33+NPV(DiscRate,D33:T33)</f>
        <v>388418.09638908</v>
      </c>
      <c r="D101" s="38" t="n">
        <f aca="false">IRR(C33:T33)</f>
        <v>0.191494621231187</v>
      </c>
      <c r="E101" s="25" t="n">
        <f aca="false">U32</f>
        <v>935027.655162667</v>
      </c>
      <c r="F101" s="25" t="n">
        <f aca="false">D32</f>
        <v>17890.2009445523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customFormat="false" ht="15" hidden="false" customHeight="false" outlineLevel="0" collapsed="false">
      <c r="A102" s="1"/>
      <c r="B102" s="6" t="s">
        <v>27</v>
      </c>
      <c r="C102" s="25" t="n">
        <f aca="false">C52+NPV(DiscRate,D52:T52)</f>
        <v>353962.617199581</v>
      </c>
      <c r="D102" s="38" t="n">
        <f aca="false">IRR(C52:T52)</f>
        <v>0.183007192640707</v>
      </c>
      <c r="E102" s="25" t="n">
        <f aca="false">U50</f>
        <v>589953.965375842</v>
      </c>
      <c r="F102" s="25" t="n">
        <f aca="false">D50</f>
        <v>4437.19887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customFormat="false" ht="15" hidden="false" customHeight="false" outlineLevel="0" collapsed="false">
      <c r="A103" s="1"/>
      <c r="B103" s="6" t="s">
        <v>28</v>
      </c>
      <c r="C103" s="25" t="n">
        <f aca="false">C71+NPV(DiscRate,D71:T71)</f>
        <v>371078.756871451</v>
      </c>
      <c r="D103" s="38" t="n">
        <f aca="false">IRR(C71:T71)</f>
        <v>0.190666260676698</v>
      </c>
      <c r="E103" s="25" t="n">
        <f aca="false">U69</f>
        <v>589953.965375842</v>
      </c>
      <c r="F103" s="25" t="n">
        <f aca="false">D69</f>
        <v>3335.77566999999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customFormat="false" ht="15" hidden="false" customHeight="false" outlineLevel="0" collapsed="false">
      <c r="A104" s="1"/>
      <c r="B104" s="6" t="s">
        <v>29</v>
      </c>
      <c r="C104" s="25" t="n">
        <f aca="false">C96+NPV(DiscRate,D96:T96)</f>
        <v>402532.119049142</v>
      </c>
      <c r="D104" s="38" t="n">
        <f aca="false">IRR(C96:T96)</f>
        <v>0.191960490437409</v>
      </c>
      <c r="E104" s="25" t="n">
        <f aca="false">U94</f>
        <v>784109.289193245</v>
      </c>
      <c r="F104" s="25" t="n">
        <f aca="false">D94</f>
        <v>9394.85846175226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customFormat="false" ht="15" hidden="false" customHeight="false" outlineLevel="0" collapsed="false">
      <c r="A106" s="1"/>
      <c r="B106" s="3" t="s">
        <v>450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20" min="3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7.35" hidden="false" customHeight="false" outlineLevel="0" collapsed="false">
      <c r="A2" s="1"/>
      <c r="B2" s="2" t="s">
        <v>451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customFormat="false" ht="15" hidden="false" customHeight="false" outlineLevel="0" collapsed="false">
      <c r="A3" s="1"/>
      <c r="B3" s="3" t="s">
        <v>452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15" hidden="false" customHeight="false" outlineLevel="0" collapsed="false">
      <c r="A5" s="1"/>
      <c r="B5" s="9" t="s">
        <v>336</v>
      </c>
      <c r="C5" s="33" t="n">
        <v>0</v>
      </c>
      <c r="D5" s="33" t="n">
        <v>1</v>
      </c>
      <c r="E5" s="33" t="n">
        <v>2</v>
      </c>
      <c r="F5" s="33" t="n">
        <v>3</v>
      </c>
      <c r="G5" s="33" t="n">
        <v>4</v>
      </c>
      <c r="H5" s="33" t="n">
        <v>5</v>
      </c>
      <c r="I5" s="33" t="n">
        <v>6</v>
      </c>
      <c r="J5" s="33" t="n">
        <v>7</v>
      </c>
      <c r="K5" s="33" t="n">
        <v>8</v>
      </c>
      <c r="L5" s="33" t="n">
        <v>9</v>
      </c>
      <c r="M5" s="33" t="n">
        <v>10</v>
      </c>
      <c r="N5" s="33" t="n">
        <v>11</v>
      </c>
      <c r="O5" s="33" t="n">
        <v>12</v>
      </c>
      <c r="P5" s="33" t="n">
        <v>13</v>
      </c>
      <c r="Q5" s="33" t="n">
        <v>14</v>
      </c>
      <c r="R5" s="33" t="n">
        <v>15</v>
      </c>
      <c r="S5" s="33" t="n">
        <v>16</v>
      </c>
      <c r="T5" s="33" t="n">
        <v>17</v>
      </c>
      <c r="U5" s="1"/>
      <c r="V5" s="1"/>
      <c r="W5" s="1"/>
      <c r="X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customFormat="false" ht="15" hidden="false" customHeight="false" outlineLevel="0" collapsed="false">
      <c r="A7" s="1"/>
      <c r="B7" s="4" t="s">
        <v>453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"/>
      <c r="W7" s="1"/>
      <c r="X7" s="1"/>
    </row>
    <row r="8" customFormat="false" ht="15" hidden="false" customHeight="false" outlineLevel="0" collapsed="false">
      <c r="A8" s="1"/>
      <c r="B8" s="6" t="s">
        <v>454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372500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171000</v>
      </c>
      <c r="O8" s="16" t="n">
        <v>0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  <c r="U8" s="3" t="s">
        <v>455</v>
      </c>
      <c r="V8" s="1"/>
      <c r="W8" s="1"/>
      <c r="X8" s="1"/>
    </row>
    <row r="9" customFormat="false" ht="15" hidden="false" customHeight="false" outlineLevel="0" collapsed="false">
      <c r="A9" s="1"/>
      <c r="B9" s="6" t="s">
        <v>456</v>
      </c>
      <c r="C9" s="16" t="n">
        <v>363188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171000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"/>
      <c r="V9" s="1"/>
      <c r="W9" s="1"/>
      <c r="X9" s="1"/>
    </row>
    <row r="10" customFormat="false" ht="15" hidden="false" customHeight="false" outlineLevel="0" collapsed="false">
      <c r="A10" s="1"/>
      <c r="B10" s="6" t="s">
        <v>457</v>
      </c>
      <c r="C10" s="16" t="n">
        <v>529912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"/>
      <c r="V10" s="1"/>
      <c r="W10" s="1"/>
      <c r="X10" s="1"/>
    </row>
    <row r="11" customFormat="false" ht="15" hidden="false" customHeight="false" outlineLevel="0" collapsed="false">
      <c r="A11" s="1"/>
      <c r="B11" s="6" t="s">
        <v>458</v>
      </c>
      <c r="C11" s="16" t="n">
        <v>0</v>
      </c>
      <c r="D11" s="16" t="n">
        <v>372500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171000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"/>
      <c r="V11" s="1"/>
      <c r="W11" s="1"/>
      <c r="X11" s="1"/>
    </row>
    <row r="12" customFormat="false" ht="15" hidden="false" customHeight="false" outlineLevel="0" collapsed="false">
      <c r="A12" s="1"/>
      <c r="B12" s="9" t="s">
        <v>459</v>
      </c>
      <c r="C12" s="25" t="n">
        <f aca="false">INDEX(C8:C11,CapexScenario)*(1+CapexInfl)^C$5</f>
        <v>0</v>
      </c>
      <c r="D12" s="25" t="n">
        <f aca="false">INDEX(D8:D11,CapexScenario)*(1+CapexInfl)^D$5</f>
        <v>0</v>
      </c>
      <c r="E12" s="25" t="n">
        <f aca="false">INDEX(E8:E11,CapexScenario)*(1+CapexInfl)^E$5</f>
        <v>0</v>
      </c>
      <c r="F12" s="25" t="n">
        <f aca="false">INDEX(F8:F11,CapexScenario)*(1+CapexInfl)^F$5</f>
        <v>0</v>
      </c>
      <c r="G12" s="25" t="n">
        <f aca="false">INDEX(G8:G11,CapexScenario)*(1+CapexInfl)^G$5</f>
        <v>419252.031725</v>
      </c>
      <c r="H12" s="25" t="n">
        <f aca="false">INDEX(H8:H11,CapexScenario)*(1+CapexInfl)^H$5</f>
        <v>0</v>
      </c>
      <c r="I12" s="25" t="n">
        <f aca="false">INDEX(I8:I11,CapexScenario)*(1+CapexInfl)^I$5</f>
        <v>0</v>
      </c>
      <c r="J12" s="25" t="n">
        <f aca="false">INDEX(J8:J11,CapexScenario)*(1+CapexInfl)^J$5</f>
        <v>0</v>
      </c>
      <c r="K12" s="25" t="n">
        <f aca="false">INDEX(K8:K11,CapexScenario)*(1+CapexInfl)^K$5</f>
        <v>0</v>
      </c>
      <c r="L12" s="25" t="n">
        <f aca="false">INDEX(L8:L11,CapexScenario)*(1+CapexInfl)^L$5</f>
        <v>0</v>
      </c>
      <c r="M12" s="25" t="n">
        <f aca="false">INDEX(M8:M11,CapexScenario)*(1+CapexInfl)^M$5</f>
        <v>0</v>
      </c>
      <c r="N12" s="25" t="n">
        <f aca="false">INDEX(N8:N11,CapexScenario)*(1+CapexInfl)^N$5</f>
        <v>236703.99189388</v>
      </c>
      <c r="O12" s="25" t="n">
        <f aca="false">INDEX(O8:O11,CapexScenario)*(1+CapexInfl)^O$5</f>
        <v>0</v>
      </c>
      <c r="P12" s="25" t="n">
        <f aca="false">INDEX(P8:P11,CapexScenario)*(1+CapexInfl)^P$5</f>
        <v>0</v>
      </c>
      <c r="Q12" s="25" t="n">
        <f aca="false">INDEX(Q8:Q11,CapexScenario)*(1+CapexInfl)^Q$5</f>
        <v>0</v>
      </c>
      <c r="R12" s="25" t="n">
        <f aca="false">INDEX(R8:R11,CapexScenario)*(1+CapexInfl)^R$5</f>
        <v>0</v>
      </c>
      <c r="S12" s="25" t="n">
        <f aca="false">INDEX(S8:S11,CapexScenario)*(1+CapexInfl)^S$5</f>
        <v>0</v>
      </c>
      <c r="T12" s="25" t="n">
        <f aca="false">INDEX(T8:T11,CapexScenario)*(1+CapexInfl)^T$5</f>
        <v>0</v>
      </c>
      <c r="U12" s="1"/>
      <c r="V12" s="1"/>
      <c r="W12" s="1"/>
      <c r="X12" s="1"/>
    </row>
    <row r="13" customFormat="false" ht="15" hidden="false" customHeight="false" outlineLevel="0" collapsed="false">
      <c r="A13" s="1"/>
      <c r="B13" s="6" t="s">
        <v>460</v>
      </c>
      <c r="C13" s="38" t="n">
        <f aca="false">0</f>
        <v>0</v>
      </c>
      <c r="D13" s="38" t="n">
        <f aca="false">IF(SUM($C$12:$T$12)=0,0,SUM($C$12:C$12)/SUM($C$12:$T$12))</f>
        <v>0</v>
      </c>
      <c r="E13" s="38" t="n">
        <f aca="false">IF(SUM($C$12:$T$12)=0,0,SUM($C$12:D$12)/SUM($C$12:$T$12))</f>
        <v>0</v>
      </c>
      <c r="F13" s="38" t="n">
        <f aca="false">IF(SUM($C$12:$T$12)=0,0,SUM($C$12:E$12)/SUM($C$12:$T$12))</f>
        <v>0</v>
      </c>
      <c r="G13" s="38" t="n">
        <f aca="false">IF(SUM($C$12:$T$12)=0,0,SUM($C$12:F$12)/SUM($C$12:$T$12))</f>
        <v>0</v>
      </c>
      <c r="H13" s="38" t="n">
        <f aca="false">IF(SUM($C$12:$T$12)=0,0,SUM($C$12:G$12)/SUM($C$12:$T$12))</f>
        <v>0.639146553471687</v>
      </c>
      <c r="I13" s="38" t="n">
        <f aca="false">IF(SUM($C$12:$T$12)=0,0,SUM($C$12:H$12)/SUM($C$12:$T$12))</f>
        <v>0.639146553471687</v>
      </c>
      <c r="J13" s="38" t="n">
        <f aca="false">IF(SUM($C$12:$T$12)=0,0,SUM($C$12:I$12)/SUM($C$12:$T$12))</f>
        <v>0.639146553471687</v>
      </c>
      <c r="K13" s="38" t="n">
        <f aca="false">IF(SUM($C$12:$T$12)=0,0,SUM($C$12:J$12)/SUM($C$12:$T$12))</f>
        <v>0.639146553471687</v>
      </c>
      <c r="L13" s="38" t="n">
        <f aca="false">IF(SUM($C$12:$T$12)=0,0,SUM($C$12:K$12)/SUM($C$12:$T$12))</f>
        <v>0.639146553471687</v>
      </c>
      <c r="M13" s="38" t="n">
        <f aca="false">IF(SUM($C$12:$T$12)=0,0,SUM($C$12:L$12)/SUM($C$12:$T$12))</f>
        <v>0.639146553471687</v>
      </c>
      <c r="N13" s="38" t="n">
        <f aca="false">IF(SUM($C$12:$T$12)=0,0,SUM($C$12:M$12)/SUM($C$12:$T$12))</f>
        <v>0.639146553471687</v>
      </c>
      <c r="O13" s="38" t="n">
        <f aca="false">IF(SUM($C$12:$T$12)=0,0,SUM($C$12:N$12)/SUM($C$12:$T$12))</f>
        <v>1</v>
      </c>
      <c r="P13" s="38" t="n">
        <f aca="false">IF(SUM($C$12:$T$12)=0,0,SUM($C$12:O$12)/SUM($C$12:$T$12))</f>
        <v>1</v>
      </c>
      <c r="Q13" s="38" t="n">
        <f aca="false">IF(SUM($C$12:$T$12)=0,0,SUM($C$12:P$12)/SUM($C$12:$T$12))</f>
        <v>1</v>
      </c>
      <c r="R13" s="38" t="n">
        <f aca="false">IF(SUM($C$12:$T$12)=0,0,SUM($C$12:Q$12)/SUM($C$12:$T$12))</f>
        <v>1</v>
      </c>
      <c r="S13" s="38" t="n">
        <f aca="false">IF(SUM($C$12:$T$12)=0,0,SUM($C$12:R$12)/SUM($C$12:$T$12))</f>
        <v>1</v>
      </c>
      <c r="T13" s="38" t="n">
        <f aca="false">IF(SUM($C$12:$T$12)=0,0,SUM($C$12:S$12)/SUM($C$12:$T$12))</f>
        <v>1</v>
      </c>
      <c r="U13" s="1"/>
      <c r="V13" s="1"/>
      <c r="W13" s="1"/>
      <c r="X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customFormat="false" ht="15" hidden="false" customHeight="false" outlineLevel="0" collapsed="false">
      <c r="A15" s="1"/>
      <c r="B15" s="4" t="s">
        <v>461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"/>
      <c r="W15" s="1"/>
      <c r="X15" s="1"/>
    </row>
    <row r="16" customFormat="false" ht="15" hidden="false" customHeight="false" outlineLevel="0" collapsed="false">
      <c r="A16" s="1"/>
      <c r="B16" s="6" t="s">
        <v>462</v>
      </c>
      <c r="C16" s="41" t="n">
        <v>0.2</v>
      </c>
      <c r="D16" s="41" t="n">
        <v>0.32</v>
      </c>
      <c r="E16" s="41" t="n">
        <v>0.192</v>
      </c>
      <c r="F16" s="41" t="n">
        <v>0.1152</v>
      </c>
      <c r="G16" s="41" t="n">
        <v>0.1152</v>
      </c>
      <c r="H16" s="41" t="n">
        <v>0.0576</v>
      </c>
      <c r="I16" s="41" t="n">
        <v>0</v>
      </c>
      <c r="J16" s="41" t="n">
        <v>0</v>
      </c>
      <c r="K16" s="41" t="n">
        <v>0</v>
      </c>
      <c r="L16" s="41" t="n">
        <v>0</v>
      </c>
      <c r="M16" s="41" t="n">
        <v>0</v>
      </c>
      <c r="N16" s="41" t="n">
        <v>0</v>
      </c>
      <c r="O16" s="41" t="n">
        <v>0</v>
      </c>
      <c r="P16" s="41" t="n">
        <v>0</v>
      </c>
      <c r="Q16" s="41" t="n">
        <v>0</v>
      </c>
      <c r="R16" s="41" t="n">
        <v>0</v>
      </c>
      <c r="S16" s="41" t="n">
        <v>0</v>
      </c>
      <c r="T16" s="41" t="n">
        <v>0</v>
      </c>
      <c r="U16" s="41" t="n">
        <v>0</v>
      </c>
      <c r="V16" s="41" t="n">
        <v>0</v>
      </c>
      <c r="W16" s="1"/>
      <c r="X16" s="3" t="s">
        <v>463</v>
      </c>
    </row>
    <row r="17" customFormat="false" ht="15" hidden="false" customHeight="false" outlineLevel="0" collapsed="false">
      <c r="A17" s="1"/>
      <c r="B17" s="6" t="s">
        <v>464</v>
      </c>
      <c r="C17" s="41" t="n">
        <v>0.1429</v>
      </c>
      <c r="D17" s="41" t="n">
        <v>0.2449</v>
      </c>
      <c r="E17" s="41" t="n">
        <v>0.1749</v>
      </c>
      <c r="F17" s="41" t="n">
        <v>0.1249</v>
      </c>
      <c r="G17" s="41" t="n">
        <v>0.0893</v>
      </c>
      <c r="H17" s="41" t="n">
        <v>0.0892</v>
      </c>
      <c r="I17" s="41" t="n">
        <v>0.0893</v>
      </c>
      <c r="J17" s="41" t="n">
        <v>0.0446</v>
      </c>
      <c r="K17" s="41" t="n">
        <v>0</v>
      </c>
      <c r="L17" s="41" t="n">
        <v>0</v>
      </c>
      <c r="M17" s="41" t="n">
        <v>0</v>
      </c>
      <c r="N17" s="41" t="n">
        <v>0</v>
      </c>
      <c r="O17" s="41" t="n">
        <v>0</v>
      </c>
      <c r="P17" s="41" t="n">
        <v>0</v>
      </c>
      <c r="Q17" s="41" t="n">
        <v>0</v>
      </c>
      <c r="R17" s="41" t="n">
        <v>0</v>
      </c>
      <c r="S17" s="41" t="n">
        <v>0</v>
      </c>
      <c r="T17" s="41" t="n">
        <v>0</v>
      </c>
      <c r="U17" s="41" t="n">
        <v>0</v>
      </c>
      <c r="V17" s="41" t="n">
        <v>0</v>
      </c>
      <c r="W17" s="1"/>
      <c r="X17" s="1"/>
    </row>
    <row r="18" customFormat="false" ht="15" hidden="false" customHeight="false" outlineLevel="0" collapsed="false">
      <c r="A18" s="1"/>
      <c r="B18" s="6" t="s">
        <v>465</v>
      </c>
      <c r="C18" s="41" t="n">
        <v>0.0333333333333333</v>
      </c>
      <c r="D18" s="41" t="n">
        <v>0.0666666666666667</v>
      </c>
      <c r="E18" s="41" t="n">
        <v>0.0666666666666667</v>
      </c>
      <c r="F18" s="41" t="n">
        <v>0.0666666666666667</v>
      </c>
      <c r="G18" s="41" t="n">
        <v>0.0666666666666667</v>
      </c>
      <c r="H18" s="41" t="n">
        <v>0.0666666666666667</v>
      </c>
      <c r="I18" s="41" t="n">
        <v>0.0666666666666667</v>
      </c>
      <c r="J18" s="41" t="n">
        <v>0.0666666666666667</v>
      </c>
      <c r="K18" s="41" t="n">
        <v>0.0666666666666667</v>
      </c>
      <c r="L18" s="41" t="n">
        <v>0.0666666666666667</v>
      </c>
      <c r="M18" s="41" t="n">
        <v>0.0666666666666667</v>
      </c>
      <c r="N18" s="41" t="n">
        <v>0.0666666666666667</v>
      </c>
      <c r="O18" s="41" t="n">
        <v>0.0666666666666667</v>
      </c>
      <c r="P18" s="41" t="n">
        <v>0.0666666666666667</v>
      </c>
      <c r="Q18" s="41" t="n">
        <v>0.0666666666666667</v>
      </c>
      <c r="R18" s="41" t="n">
        <v>0.0333333333333333</v>
      </c>
      <c r="S18" s="41" t="n">
        <v>0</v>
      </c>
      <c r="T18" s="41" t="n">
        <v>0</v>
      </c>
      <c r="U18" s="41" t="n">
        <v>0</v>
      </c>
      <c r="V18" s="41" t="n">
        <v>0</v>
      </c>
      <c r="W18" s="1"/>
      <c r="X18" s="1"/>
    </row>
    <row r="19" customFormat="false" ht="15" hidden="false" customHeight="false" outlineLevel="0" collapsed="false">
      <c r="A19" s="1"/>
      <c r="B19" s="6" t="s">
        <v>466</v>
      </c>
      <c r="C19" s="42" t="n">
        <f aca="false">IF(EquipLife=7,C17,C16)</f>
        <v>0.2</v>
      </c>
      <c r="D19" s="42" t="n">
        <f aca="false">IF(EquipLife=7,D17,D16)</f>
        <v>0.32</v>
      </c>
      <c r="E19" s="42" t="n">
        <f aca="false">IF(EquipLife=7,E17,E16)</f>
        <v>0.192</v>
      </c>
      <c r="F19" s="42" t="n">
        <f aca="false">IF(EquipLife=7,F17,F16)</f>
        <v>0.1152</v>
      </c>
      <c r="G19" s="42" t="n">
        <f aca="false">IF(EquipLife=7,G17,G16)</f>
        <v>0.1152</v>
      </c>
      <c r="H19" s="42" t="n">
        <f aca="false">IF(EquipLife=7,H17,H16)</f>
        <v>0.0576</v>
      </c>
      <c r="I19" s="42" t="n">
        <f aca="false">IF(EquipLife=7,I17,I16)</f>
        <v>0</v>
      </c>
      <c r="J19" s="42" t="n">
        <f aca="false">IF(EquipLife=7,J17,J16)</f>
        <v>0</v>
      </c>
      <c r="K19" s="42" t="n">
        <f aca="false">IF(EquipLife=7,K17,K16)</f>
        <v>0</v>
      </c>
      <c r="L19" s="42" t="n">
        <f aca="false">IF(EquipLife=7,L17,L16)</f>
        <v>0</v>
      </c>
      <c r="M19" s="42" t="n">
        <f aca="false">IF(EquipLife=7,M17,M16)</f>
        <v>0</v>
      </c>
      <c r="N19" s="42" t="n">
        <f aca="false">IF(EquipLife=7,N17,N16)</f>
        <v>0</v>
      </c>
      <c r="O19" s="42" t="n">
        <f aca="false">IF(EquipLife=7,O17,O16)</f>
        <v>0</v>
      </c>
      <c r="P19" s="42" t="n">
        <f aca="false">IF(EquipLife=7,P17,P16)</f>
        <v>0</v>
      </c>
      <c r="Q19" s="42" t="n">
        <f aca="false">IF(EquipLife=7,Q17,Q16)</f>
        <v>0</v>
      </c>
      <c r="R19" s="42" t="n">
        <f aca="false">IF(EquipLife=7,R17,R16)</f>
        <v>0</v>
      </c>
      <c r="S19" s="42" t="n">
        <f aca="false">IF(EquipLife=7,S17,S16)</f>
        <v>0</v>
      </c>
      <c r="T19" s="42" t="n">
        <f aca="false">IF(EquipLife=7,T17,T16)</f>
        <v>0</v>
      </c>
      <c r="U19" s="42" t="n">
        <f aca="false">IF(EquipLife=7,U17,U16)</f>
        <v>0</v>
      </c>
      <c r="V19" s="42" t="n">
        <f aca="false">IF(EquipLife=7,V17,V16)</f>
        <v>0</v>
      </c>
      <c r="W19" s="1"/>
      <c r="X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customFormat="false" ht="15" hidden="false" customHeight="false" outlineLevel="0" collapsed="false">
      <c r="A21" s="1"/>
      <c r="B21" s="4" t="s">
        <v>467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1"/>
      <c r="W21" s="1"/>
      <c r="X21" s="1"/>
    </row>
    <row r="22" customFormat="false" ht="15" hidden="false" customHeight="false" outlineLevel="0" collapsed="false">
      <c r="A22" s="1"/>
      <c r="B22" s="6" t="s">
        <v>468</v>
      </c>
      <c r="C22" s="1"/>
      <c r="D22" s="25" t="n">
        <f aca="false">AllocEquip+C12+D12</f>
        <v>60000</v>
      </c>
      <c r="E22" s="25" t="n">
        <f aca="false">E12</f>
        <v>0</v>
      </c>
      <c r="F22" s="25" t="n">
        <f aca="false">F12</f>
        <v>0</v>
      </c>
      <c r="G22" s="25" t="n">
        <f aca="false">G12</f>
        <v>419252.031725</v>
      </c>
      <c r="H22" s="25" t="n">
        <f aca="false">H12</f>
        <v>0</v>
      </c>
      <c r="I22" s="25" t="n">
        <f aca="false">I12</f>
        <v>0</v>
      </c>
      <c r="J22" s="25" t="n">
        <f aca="false">J12</f>
        <v>0</v>
      </c>
      <c r="K22" s="25" t="n">
        <f aca="false">K12</f>
        <v>0</v>
      </c>
      <c r="L22" s="25" t="n">
        <f aca="false">L12</f>
        <v>0</v>
      </c>
      <c r="M22" s="25" t="n">
        <f aca="false">M12</f>
        <v>0</v>
      </c>
      <c r="N22" s="25" t="n">
        <f aca="false">N12</f>
        <v>236703.99189388</v>
      </c>
      <c r="O22" s="25" t="n">
        <f aca="false">O12</f>
        <v>0</v>
      </c>
      <c r="P22" s="25" t="n">
        <f aca="false">P12</f>
        <v>0</v>
      </c>
      <c r="Q22" s="25" t="n">
        <f aca="false">Q12</f>
        <v>0</v>
      </c>
      <c r="R22" s="25" t="n">
        <f aca="false">R12</f>
        <v>0</v>
      </c>
      <c r="S22" s="25" t="n">
        <f aca="false">S12</f>
        <v>0</v>
      </c>
      <c r="T22" s="25" t="n">
        <f aca="false">T12</f>
        <v>0</v>
      </c>
      <c r="U22" s="1"/>
      <c r="V22" s="1"/>
      <c r="W22" s="1"/>
      <c r="X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15" hidden="false" customHeight="false" outlineLevel="0" collapsed="false">
      <c r="A24" s="1"/>
      <c r="B24" s="4" t="s">
        <v>469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"/>
      <c r="W24" s="1"/>
      <c r="X24" s="1"/>
    </row>
    <row r="25" customFormat="false" ht="15" hidden="false" customHeight="false" outlineLevel="0" collapsed="false">
      <c r="A25" s="1"/>
      <c r="B25" s="3" t="s">
        <v>470</v>
      </c>
      <c r="C25" s="1"/>
      <c r="D25" s="43" t="n">
        <f aca="false">$D$22*(IF(1=1,Bonus,0)+(1-Bonus)*INDEX($C$19:$V$19,1))</f>
        <v>60000</v>
      </c>
      <c r="E25" s="43" t="n">
        <f aca="false">$D$22*(IF(2=1,Bonus,0)+(1-Bonus)*INDEX($C$19:$V$19,2))</f>
        <v>0</v>
      </c>
      <c r="F25" s="43" t="n">
        <f aca="false">$D$22*(IF(3=1,Bonus,0)+(1-Bonus)*INDEX($C$19:$V$19,3))</f>
        <v>0</v>
      </c>
      <c r="G25" s="43" t="n">
        <f aca="false">$D$22*(IF(4=1,Bonus,0)+(1-Bonus)*INDEX($C$19:$V$19,4))</f>
        <v>0</v>
      </c>
      <c r="H25" s="43" t="n">
        <f aca="false">$D$22*(IF(5=1,Bonus,0)+(1-Bonus)*INDEX($C$19:$V$19,5))</f>
        <v>0</v>
      </c>
      <c r="I25" s="43" t="n">
        <f aca="false">$D$22*(IF(6=1,Bonus,0)+(1-Bonus)*INDEX($C$19:$V$19,6))</f>
        <v>0</v>
      </c>
      <c r="J25" s="43" t="n">
        <f aca="false">$D$22*(IF(7=1,Bonus,0)+(1-Bonus)*INDEX($C$19:$V$19,7))</f>
        <v>0</v>
      </c>
      <c r="K25" s="43" t="n">
        <f aca="false">$D$22*(IF(8=1,Bonus,0)+(1-Bonus)*INDEX($C$19:$V$19,8))</f>
        <v>0</v>
      </c>
      <c r="L25" s="43" t="n">
        <f aca="false">$D$22*(IF(9=1,Bonus,0)+(1-Bonus)*INDEX($C$19:$V$19,9))</f>
        <v>0</v>
      </c>
      <c r="M25" s="43" t="n">
        <f aca="false">$D$22*(IF(10=1,Bonus,0)+(1-Bonus)*INDEX($C$19:$V$19,10))</f>
        <v>0</v>
      </c>
      <c r="N25" s="43" t="n">
        <f aca="false">$D$22*(IF(11=1,Bonus,0)+(1-Bonus)*INDEX($C$19:$V$19,11))</f>
        <v>0</v>
      </c>
      <c r="O25" s="43" t="n">
        <f aca="false">$D$22*(IF(12=1,Bonus,0)+(1-Bonus)*INDEX($C$19:$V$19,12))</f>
        <v>0</v>
      </c>
      <c r="P25" s="43" t="n">
        <f aca="false">$D$22*(IF(13=1,Bonus,0)+(1-Bonus)*INDEX($C$19:$V$19,13))</f>
        <v>0</v>
      </c>
      <c r="Q25" s="43" t="n">
        <f aca="false">$D$22*(IF(14=1,Bonus,0)+(1-Bonus)*INDEX($C$19:$V$19,14))</f>
        <v>0</v>
      </c>
      <c r="R25" s="43" t="n">
        <f aca="false">$D$22*(IF(15=1,Bonus,0)+(1-Bonus)*INDEX($C$19:$V$19,15))</f>
        <v>0</v>
      </c>
      <c r="S25" s="43" t="n">
        <f aca="false">$D$22*(IF(16=1,Bonus,0)+(1-Bonus)*INDEX($C$19:$V$19,16))</f>
        <v>0</v>
      </c>
      <c r="T25" s="43" t="n">
        <f aca="false">$D$22*(IF(17=1,Bonus,0)+(1-Bonus)*INDEX($C$19:$V$19,17))</f>
        <v>0</v>
      </c>
      <c r="U25" s="1"/>
      <c r="V25" s="1"/>
      <c r="W25" s="1"/>
      <c r="X25" s="1"/>
    </row>
    <row r="26" customFormat="false" ht="15" hidden="false" customHeight="false" outlineLevel="0" collapsed="false">
      <c r="A26" s="1"/>
      <c r="B26" s="3" t="s">
        <v>471</v>
      </c>
      <c r="C26" s="1"/>
      <c r="D26" s="43" t="n">
        <f aca="false">0</f>
        <v>0</v>
      </c>
      <c r="E26" s="43" t="n">
        <f aca="false">$E$22*(IF(2=2,Bonus,0)+(1-Bonus)*INDEX($C$19:$V$19,1))</f>
        <v>0</v>
      </c>
      <c r="F26" s="43" t="n">
        <f aca="false">$E$22*(IF(3=2,Bonus,0)+(1-Bonus)*INDEX($C$19:$V$19,2))</f>
        <v>0</v>
      </c>
      <c r="G26" s="43" t="n">
        <f aca="false">$E$22*(IF(4=2,Bonus,0)+(1-Bonus)*INDEX($C$19:$V$19,3))</f>
        <v>0</v>
      </c>
      <c r="H26" s="43" t="n">
        <f aca="false">$E$22*(IF(5=2,Bonus,0)+(1-Bonus)*INDEX($C$19:$V$19,4))</f>
        <v>0</v>
      </c>
      <c r="I26" s="43" t="n">
        <f aca="false">$E$22*(IF(6=2,Bonus,0)+(1-Bonus)*INDEX($C$19:$V$19,5))</f>
        <v>0</v>
      </c>
      <c r="J26" s="43" t="n">
        <f aca="false">$E$22*(IF(7=2,Bonus,0)+(1-Bonus)*INDEX($C$19:$V$19,6))</f>
        <v>0</v>
      </c>
      <c r="K26" s="43" t="n">
        <f aca="false">$E$22*(IF(8=2,Bonus,0)+(1-Bonus)*INDEX($C$19:$V$19,7))</f>
        <v>0</v>
      </c>
      <c r="L26" s="43" t="n">
        <f aca="false">$E$22*(IF(9=2,Bonus,0)+(1-Bonus)*INDEX($C$19:$V$19,8))</f>
        <v>0</v>
      </c>
      <c r="M26" s="43" t="n">
        <f aca="false">$E$22*(IF(10=2,Bonus,0)+(1-Bonus)*INDEX($C$19:$V$19,9))</f>
        <v>0</v>
      </c>
      <c r="N26" s="43" t="n">
        <f aca="false">$E$22*(IF(11=2,Bonus,0)+(1-Bonus)*INDEX($C$19:$V$19,10))</f>
        <v>0</v>
      </c>
      <c r="O26" s="43" t="n">
        <f aca="false">$E$22*(IF(12=2,Bonus,0)+(1-Bonus)*INDEX($C$19:$V$19,11))</f>
        <v>0</v>
      </c>
      <c r="P26" s="43" t="n">
        <f aca="false">$E$22*(IF(13=2,Bonus,0)+(1-Bonus)*INDEX($C$19:$V$19,12))</f>
        <v>0</v>
      </c>
      <c r="Q26" s="43" t="n">
        <f aca="false">$E$22*(IF(14=2,Bonus,0)+(1-Bonus)*INDEX($C$19:$V$19,13))</f>
        <v>0</v>
      </c>
      <c r="R26" s="43" t="n">
        <f aca="false">$E$22*(IF(15=2,Bonus,0)+(1-Bonus)*INDEX($C$19:$V$19,14))</f>
        <v>0</v>
      </c>
      <c r="S26" s="43" t="n">
        <f aca="false">$E$22*(IF(16=2,Bonus,0)+(1-Bonus)*INDEX($C$19:$V$19,15))</f>
        <v>0</v>
      </c>
      <c r="T26" s="43" t="n">
        <f aca="false">$E$22*(IF(17=2,Bonus,0)+(1-Bonus)*INDEX($C$19:$V$19,16))</f>
        <v>0</v>
      </c>
      <c r="U26" s="1"/>
      <c r="V26" s="1"/>
      <c r="W26" s="1"/>
      <c r="X26" s="1"/>
    </row>
    <row r="27" customFormat="false" ht="15" hidden="false" customHeight="false" outlineLevel="0" collapsed="false">
      <c r="A27" s="1"/>
      <c r="B27" s="3" t="s">
        <v>472</v>
      </c>
      <c r="C27" s="1"/>
      <c r="D27" s="43" t="n">
        <f aca="false">0</f>
        <v>0</v>
      </c>
      <c r="E27" s="43" t="n">
        <f aca="false">0</f>
        <v>0</v>
      </c>
      <c r="F27" s="43" t="n">
        <f aca="false">$F$22*(IF(3=3,Bonus,0)+(1-Bonus)*INDEX($C$19:$V$19,1))</f>
        <v>0</v>
      </c>
      <c r="G27" s="43" t="n">
        <f aca="false">$F$22*(IF(4=3,Bonus,0)+(1-Bonus)*INDEX($C$19:$V$19,2))</f>
        <v>0</v>
      </c>
      <c r="H27" s="43" t="n">
        <f aca="false">$F$22*(IF(5=3,Bonus,0)+(1-Bonus)*INDEX($C$19:$V$19,3))</f>
        <v>0</v>
      </c>
      <c r="I27" s="43" t="n">
        <f aca="false">$F$22*(IF(6=3,Bonus,0)+(1-Bonus)*INDEX($C$19:$V$19,4))</f>
        <v>0</v>
      </c>
      <c r="J27" s="43" t="n">
        <f aca="false">$F$22*(IF(7=3,Bonus,0)+(1-Bonus)*INDEX($C$19:$V$19,5))</f>
        <v>0</v>
      </c>
      <c r="K27" s="43" t="n">
        <f aca="false">$F$22*(IF(8=3,Bonus,0)+(1-Bonus)*INDEX($C$19:$V$19,6))</f>
        <v>0</v>
      </c>
      <c r="L27" s="43" t="n">
        <f aca="false">$F$22*(IF(9=3,Bonus,0)+(1-Bonus)*INDEX($C$19:$V$19,7))</f>
        <v>0</v>
      </c>
      <c r="M27" s="43" t="n">
        <f aca="false">$F$22*(IF(10=3,Bonus,0)+(1-Bonus)*INDEX($C$19:$V$19,8))</f>
        <v>0</v>
      </c>
      <c r="N27" s="43" t="n">
        <f aca="false">$F$22*(IF(11=3,Bonus,0)+(1-Bonus)*INDEX($C$19:$V$19,9))</f>
        <v>0</v>
      </c>
      <c r="O27" s="43" t="n">
        <f aca="false">$F$22*(IF(12=3,Bonus,0)+(1-Bonus)*INDEX($C$19:$V$19,10))</f>
        <v>0</v>
      </c>
      <c r="P27" s="43" t="n">
        <f aca="false">$F$22*(IF(13=3,Bonus,0)+(1-Bonus)*INDEX($C$19:$V$19,11))</f>
        <v>0</v>
      </c>
      <c r="Q27" s="43" t="n">
        <f aca="false">$F$22*(IF(14=3,Bonus,0)+(1-Bonus)*INDEX($C$19:$V$19,12))</f>
        <v>0</v>
      </c>
      <c r="R27" s="43" t="n">
        <f aca="false">$F$22*(IF(15=3,Bonus,0)+(1-Bonus)*INDEX($C$19:$V$19,13))</f>
        <v>0</v>
      </c>
      <c r="S27" s="43" t="n">
        <f aca="false">$F$22*(IF(16=3,Bonus,0)+(1-Bonus)*INDEX($C$19:$V$19,14))</f>
        <v>0</v>
      </c>
      <c r="T27" s="43" t="n">
        <f aca="false">$F$22*(IF(17=3,Bonus,0)+(1-Bonus)*INDEX($C$19:$V$19,15))</f>
        <v>0</v>
      </c>
      <c r="U27" s="1"/>
      <c r="V27" s="1"/>
      <c r="W27" s="1"/>
      <c r="X27" s="1"/>
    </row>
    <row r="28" customFormat="false" ht="15" hidden="false" customHeight="false" outlineLevel="0" collapsed="false">
      <c r="A28" s="1"/>
      <c r="B28" s="3" t="s">
        <v>473</v>
      </c>
      <c r="C28" s="1"/>
      <c r="D28" s="43" t="n">
        <f aca="false">0</f>
        <v>0</v>
      </c>
      <c r="E28" s="43" t="n">
        <f aca="false">0</f>
        <v>0</v>
      </c>
      <c r="F28" s="43" t="n">
        <f aca="false">0</f>
        <v>0</v>
      </c>
      <c r="G28" s="43" t="n">
        <f aca="false">$G$22*(IF(4=4,Bonus,0)+(1-Bonus)*INDEX($C$19:$V$19,1))</f>
        <v>419252.031725</v>
      </c>
      <c r="H28" s="43" t="n">
        <f aca="false">$G$22*(IF(5=4,Bonus,0)+(1-Bonus)*INDEX($C$19:$V$19,2))</f>
        <v>0</v>
      </c>
      <c r="I28" s="43" t="n">
        <f aca="false">$G$22*(IF(6=4,Bonus,0)+(1-Bonus)*INDEX($C$19:$V$19,3))</f>
        <v>0</v>
      </c>
      <c r="J28" s="43" t="n">
        <f aca="false">$G$22*(IF(7=4,Bonus,0)+(1-Bonus)*INDEX($C$19:$V$19,4))</f>
        <v>0</v>
      </c>
      <c r="K28" s="43" t="n">
        <f aca="false">$G$22*(IF(8=4,Bonus,0)+(1-Bonus)*INDEX($C$19:$V$19,5))</f>
        <v>0</v>
      </c>
      <c r="L28" s="43" t="n">
        <f aca="false">$G$22*(IF(9=4,Bonus,0)+(1-Bonus)*INDEX($C$19:$V$19,6))</f>
        <v>0</v>
      </c>
      <c r="M28" s="43" t="n">
        <f aca="false">$G$22*(IF(10=4,Bonus,0)+(1-Bonus)*INDEX($C$19:$V$19,7))</f>
        <v>0</v>
      </c>
      <c r="N28" s="43" t="n">
        <f aca="false">$G$22*(IF(11=4,Bonus,0)+(1-Bonus)*INDEX($C$19:$V$19,8))</f>
        <v>0</v>
      </c>
      <c r="O28" s="43" t="n">
        <f aca="false">$G$22*(IF(12=4,Bonus,0)+(1-Bonus)*INDEX($C$19:$V$19,9))</f>
        <v>0</v>
      </c>
      <c r="P28" s="43" t="n">
        <f aca="false">$G$22*(IF(13=4,Bonus,0)+(1-Bonus)*INDEX($C$19:$V$19,10))</f>
        <v>0</v>
      </c>
      <c r="Q28" s="43" t="n">
        <f aca="false">$G$22*(IF(14=4,Bonus,0)+(1-Bonus)*INDEX($C$19:$V$19,11))</f>
        <v>0</v>
      </c>
      <c r="R28" s="43" t="n">
        <f aca="false">$G$22*(IF(15=4,Bonus,0)+(1-Bonus)*INDEX($C$19:$V$19,12))</f>
        <v>0</v>
      </c>
      <c r="S28" s="43" t="n">
        <f aca="false">$G$22*(IF(16=4,Bonus,0)+(1-Bonus)*INDEX($C$19:$V$19,13))</f>
        <v>0</v>
      </c>
      <c r="T28" s="43" t="n">
        <f aca="false">$G$22*(IF(17=4,Bonus,0)+(1-Bonus)*INDEX($C$19:$V$19,14))</f>
        <v>0</v>
      </c>
      <c r="U28" s="1"/>
      <c r="V28" s="1"/>
      <c r="W28" s="1"/>
      <c r="X28" s="1"/>
    </row>
    <row r="29" customFormat="false" ht="15" hidden="false" customHeight="false" outlineLevel="0" collapsed="false">
      <c r="A29" s="1"/>
      <c r="B29" s="3" t="s">
        <v>474</v>
      </c>
      <c r="C29" s="1"/>
      <c r="D29" s="43" t="n">
        <f aca="false">0</f>
        <v>0</v>
      </c>
      <c r="E29" s="43" t="n">
        <f aca="false">0</f>
        <v>0</v>
      </c>
      <c r="F29" s="43" t="n">
        <f aca="false">0</f>
        <v>0</v>
      </c>
      <c r="G29" s="43" t="n">
        <f aca="false">0</f>
        <v>0</v>
      </c>
      <c r="H29" s="43" t="n">
        <f aca="false">$H$22*(IF(5=5,Bonus,0)+(1-Bonus)*INDEX($C$19:$V$19,1))</f>
        <v>0</v>
      </c>
      <c r="I29" s="43" t="n">
        <f aca="false">$H$22*(IF(6=5,Bonus,0)+(1-Bonus)*INDEX($C$19:$V$19,2))</f>
        <v>0</v>
      </c>
      <c r="J29" s="43" t="n">
        <f aca="false">$H$22*(IF(7=5,Bonus,0)+(1-Bonus)*INDEX($C$19:$V$19,3))</f>
        <v>0</v>
      </c>
      <c r="K29" s="43" t="n">
        <f aca="false">$H$22*(IF(8=5,Bonus,0)+(1-Bonus)*INDEX($C$19:$V$19,4))</f>
        <v>0</v>
      </c>
      <c r="L29" s="43" t="n">
        <f aca="false">$H$22*(IF(9=5,Bonus,0)+(1-Bonus)*INDEX($C$19:$V$19,5))</f>
        <v>0</v>
      </c>
      <c r="M29" s="43" t="n">
        <f aca="false">$H$22*(IF(10=5,Bonus,0)+(1-Bonus)*INDEX($C$19:$V$19,6))</f>
        <v>0</v>
      </c>
      <c r="N29" s="43" t="n">
        <f aca="false">$H$22*(IF(11=5,Bonus,0)+(1-Bonus)*INDEX($C$19:$V$19,7))</f>
        <v>0</v>
      </c>
      <c r="O29" s="43" t="n">
        <f aca="false">$H$22*(IF(12=5,Bonus,0)+(1-Bonus)*INDEX($C$19:$V$19,8))</f>
        <v>0</v>
      </c>
      <c r="P29" s="43" t="n">
        <f aca="false">$H$22*(IF(13=5,Bonus,0)+(1-Bonus)*INDEX($C$19:$V$19,9))</f>
        <v>0</v>
      </c>
      <c r="Q29" s="43" t="n">
        <f aca="false">$H$22*(IF(14=5,Bonus,0)+(1-Bonus)*INDEX($C$19:$V$19,10))</f>
        <v>0</v>
      </c>
      <c r="R29" s="43" t="n">
        <f aca="false">$H$22*(IF(15=5,Bonus,0)+(1-Bonus)*INDEX($C$19:$V$19,11))</f>
        <v>0</v>
      </c>
      <c r="S29" s="43" t="n">
        <f aca="false">$H$22*(IF(16=5,Bonus,0)+(1-Bonus)*INDEX($C$19:$V$19,12))</f>
        <v>0</v>
      </c>
      <c r="T29" s="43" t="n">
        <f aca="false">$H$22*(IF(17=5,Bonus,0)+(1-Bonus)*INDEX($C$19:$V$19,13))</f>
        <v>0</v>
      </c>
      <c r="U29" s="1"/>
      <c r="V29" s="1"/>
      <c r="W29" s="1"/>
      <c r="X29" s="1"/>
    </row>
    <row r="30" customFormat="false" ht="15" hidden="false" customHeight="false" outlineLevel="0" collapsed="false">
      <c r="A30" s="1"/>
      <c r="B30" s="3" t="s">
        <v>475</v>
      </c>
      <c r="C30" s="1"/>
      <c r="D30" s="43" t="n">
        <f aca="false">0</f>
        <v>0</v>
      </c>
      <c r="E30" s="43" t="n">
        <f aca="false">0</f>
        <v>0</v>
      </c>
      <c r="F30" s="43" t="n">
        <f aca="false">0</f>
        <v>0</v>
      </c>
      <c r="G30" s="43" t="n">
        <f aca="false">0</f>
        <v>0</v>
      </c>
      <c r="H30" s="43" t="n">
        <f aca="false">0</f>
        <v>0</v>
      </c>
      <c r="I30" s="43" t="n">
        <f aca="false">$I$22*(IF(6=6,Bonus,0)+(1-Bonus)*INDEX($C$19:$V$19,1))</f>
        <v>0</v>
      </c>
      <c r="J30" s="43" t="n">
        <f aca="false">$I$22*(IF(7=6,Bonus,0)+(1-Bonus)*INDEX($C$19:$V$19,2))</f>
        <v>0</v>
      </c>
      <c r="K30" s="43" t="n">
        <f aca="false">$I$22*(IF(8=6,Bonus,0)+(1-Bonus)*INDEX($C$19:$V$19,3))</f>
        <v>0</v>
      </c>
      <c r="L30" s="43" t="n">
        <f aca="false">$I$22*(IF(9=6,Bonus,0)+(1-Bonus)*INDEX($C$19:$V$19,4))</f>
        <v>0</v>
      </c>
      <c r="M30" s="43" t="n">
        <f aca="false">$I$22*(IF(10=6,Bonus,0)+(1-Bonus)*INDEX($C$19:$V$19,5))</f>
        <v>0</v>
      </c>
      <c r="N30" s="43" t="n">
        <f aca="false">$I$22*(IF(11=6,Bonus,0)+(1-Bonus)*INDEX($C$19:$V$19,6))</f>
        <v>0</v>
      </c>
      <c r="O30" s="43" t="n">
        <f aca="false">$I$22*(IF(12=6,Bonus,0)+(1-Bonus)*INDEX($C$19:$V$19,7))</f>
        <v>0</v>
      </c>
      <c r="P30" s="43" t="n">
        <f aca="false">$I$22*(IF(13=6,Bonus,0)+(1-Bonus)*INDEX($C$19:$V$19,8))</f>
        <v>0</v>
      </c>
      <c r="Q30" s="43" t="n">
        <f aca="false">$I$22*(IF(14=6,Bonus,0)+(1-Bonus)*INDEX($C$19:$V$19,9))</f>
        <v>0</v>
      </c>
      <c r="R30" s="43" t="n">
        <f aca="false">$I$22*(IF(15=6,Bonus,0)+(1-Bonus)*INDEX($C$19:$V$19,10))</f>
        <v>0</v>
      </c>
      <c r="S30" s="43" t="n">
        <f aca="false">$I$22*(IF(16=6,Bonus,0)+(1-Bonus)*INDEX($C$19:$V$19,11))</f>
        <v>0</v>
      </c>
      <c r="T30" s="43" t="n">
        <f aca="false">$I$22*(IF(17=6,Bonus,0)+(1-Bonus)*INDEX($C$19:$V$19,12))</f>
        <v>0</v>
      </c>
      <c r="U30" s="1"/>
      <c r="V30" s="1"/>
      <c r="W30" s="1"/>
      <c r="X30" s="1"/>
    </row>
    <row r="31" customFormat="false" ht="15" hidden="false" customHeight="false" outlineLevel="0" collapsed="false">
      <c r="A31" s="1"/>
      <c r="B31" s="3" t="s">
        <v>476</v>
      </c>
      <c r="C31" s="1"/>
      <c r="D31" s="43" t="n">
        <f aca="false">0</f>
        <v>0</v>
      </c>
      <c r="E31" s="43" t="n">
        <f aca="false">0</f>
        <v>0</v>
      </c>
      <c r="F31" s="43" t="n">
        <f aca="false">0</f>
        <v>0</v>
      </c>
      <c r="G31" s="43" t="n">
        <f aca="false">0</f>
        <v>0</v>
      </c>
      <c r="H31" s="43" t="n">
        <f aca="false">0</f>
        <v>0</v>
      </c>
      <c r="I31" s="43" t="n">
        <f aca="false">0</f>
        <v>0</v>
      </c>
      <c r="J31" s="43" t="n">
        <f aca="false">$J$22*(IF(7=7,Bonus,0)+(1-Bonus)*INDEX($C$19:$V$19,1))</f>
        <v>0</v>
      </c>
      <c r="K31" s="43" t="n">
        <f aca="false">$J$22*(IF(8=7,Bonus,0)+(1-Bonus)*INDEX($C$19:$V$19,2))</f>
        <v>0</v>
      </c>
      <c r="L31" s="43" t="n">
        <f aca="false">$J$22*(IF(9=7,Bonus,0)+(1-Bonus)*INDEX($C$19:$V$19,3))</f>
        <v>0</v>
      </c>
      <c r="M31" s="43" t="n">
        <f aca="false">$J$22*(IF(10=7,Bonus,0)+(1-Bonus)*INDEX($C$19:$V$19,4))</f>
        <v>0</v>
      </c>
      <c r="N31" s="43" t="n">
        <f aca="false">$J$22*(IF(11=7,Bonus,0)+(1-Bonus)*INDEX($C$19:$V$19,5))</f>
        <v>0</v>
      </c>
      <c r="O31" s="43" t="n">
        <f aca="false">$J$22*(IF(12=7,Bonus,0)+(1-Bonus)*INDEX($C$19:$V$19,6))</f>
        <v>0</v>
      </c>
      <c r="P31" s="43" t="n">
        <f aca="false">$J$22*(IF(13=7,Bonus,0)+(1-Bonus)*INDEX($C$19:$V$19,7))</f>
        <v>0</v>
      </c>
      <c r="Q31" s="43" t="n">
        <f aca="false">$J$22*(IF(14=7,Bonus,0)+(1-Bonus)*INDEX($C$19:$V$19,8))</f>
        <v>0</v>
      </c>
      <c r="R31" s="43" t="n">
        <f aca="false">$J$22*(IF(15=7,Bonus,0)+(1-Bonus)*INDEX($C$19:$V$19,9))</f>
        <v>0</v>
      </c>
      <c r="S31" s="43" t="n">
        <f aca="false">$J$22*(IF(16=7,Bonus,0)+(1-Bonus)*INDEX($C$19:$V$19,10))</f>
        <v>0</v>
      </c>
      <c r="T31" s="43" t="n">
        <f aca="false">$J$22*(IF(17=7,Bonus,0)+(1-Bonus)*INDEX($C$19:$V$19,11))</f>
        <v>0</v>
      </c>
      <c r="U31" s="1"/>
      <c r="V31" s="1"/>
      <c r="W31" s="1"/>
      <c r="X31" s="1"/>
    </row>
    <row r="32" customFormat="false" ht="15" hidden="false" customHeight="false" outlineLevel="0" collapsed="false">
      <c r="A32" s="1"/>
      <c r="B32" s="3" t="s">
        <v>477</v>
      </c>
      <c r="C32" s="1"/>
      <c r="D32" s="43" t="n">
        <f aca="false">0</f>
        <v>0</v>
      </c>
      <c r="E32" s="43" t="n">
        <f aca="false">0</f>
        <v>0</v>
      </c>
      <c r="F32" s="43" t="n">
        <f aca="false">0</f>
        <v>0</v>
      </c>
      <c r="G32" s="43" t="n">
        <f aca="false">0</f>
        <v>0</v>
      </c>
      <c r="H32" s="43" t="n">
        <f aca="false">0</f>
        <v>0</v>
      </c>
      <c r="I32" s="43" t="n">
        <f aca="false">0</f>
        <v>0</v>
      </c>
      <c r="J32" s="43" t="n">
        <f aca="false">0</f>
        <v>0</v>
      </c>
      <c r="K32" s="43" t="n">
        <f aca="false">$K$22*(IF(8=8,Bonus,0)+(1-Bonus)*INDEX($C$19:$V$19,1))</f>
        <v>0</v>
      </c>
      <c r="L32" s="43" t="n">
        <f aca="false">$K$22*(IF(9=8,Bonus,0)+(1-Bonus)*INDEX($C$19:$V$19,2))</f>
        <v>0</v>
      </c>
      <c r="M32" s="43" t="n">
        <f aca="false">$K$22*(IF(10=8,Bonus,0)+(1-Bonus)*INDEX($C$19:$V$19,3))</f>
        <v>0</v>
      </c>
      <c r="N32" s="43" t="n">
        <f aca="false">$K$22*(IF(11=8,Bonus,0)+(1-Bonus)*INDEX($C$19:$V$19,4))</f>
        <v>0</v>
      </c>
      <c r="O32" s="43" t="n">
        <f aca="false">$K$22*(IF(12=8,Bonus,0)+(1-Bonus)*INDEX($C$19:$V$19,5))</f>
        <v>0</v>
      </c>
      <c r="P32" s="43" t="n">
        <f aca="false">$K$22*(IF(13=8,Bonus,0)+(1-Bonus)*INDEX($C$19:$V$19,6))</f>
        <v>0</v>
      </c>
      <c r="Q32" s="43" t="n">
        <f aca="false">$K$22*(IF(14=8,Bonus,0)+(1-Bonus)*INDEX($C$19:$V$19,7))</f>
        <v>0</v>
      </c>
      <c r="R32" s="43" t="n">
        <f aca="false">$K$22*(IF(15=8,Bonus,0)+(1-Bonus)*INDEX($C$19:$V$19,8))</f>
        <v>0</v>
      </c>
      <c r="S32" s="43" t="n">
        <f aca="false">$K$22*(IF(16=8,Bonus,0)+(1-Bonus)*INDEX($C$19:$V$19,9))</f>
        <v>0</v>
      </c>
      <c r="T32" s="43" t="n">
        <f aca="false">$K$22*(IF(17=8,Bonus,0)+(1-Bonus)*INDEX($C$19:$V$19,10))</f>
        <v>0</v>
      </c>
      <c r="U32" s="1"/>
      <c r="V32" s="1"/>
      <c r="W32" s="1"/>
      <c r="X32" s="1"/>
    </row>
    <row r="33" customFormat="false" ht="15" hidden="false" customHeight="false" outlineLevel="0" collapsed="false">
      <c r="A33" s="1"/>
      <c r="B33" s="3" t="s">
        <v>478</v>
      </c>
      <c r="C33" s="1"/>
      <c r="D33" s="43" t="n">
        <f aca="false">0</f>
        <v>0</v>
      </c>
      <c r="E33" s="43" t="n">
        <f aca="false">0</f>
        <v>0</v>
      </c>
      <c r="F33" s="43" t="n">
        <f aca="false">0</f>
        <v>0</v>
      </c>
      <c r="G33" s="43" t="n">
        <f aca="false">0</f>
        <v>0</v>
      </c>
      <c r="H33" s="43" t="n">
        <f aca="false">0</f>
        <v>0</v>
      </c>
      <c r="I33" s="43" t="n">
        <f aca="false">0</f>
        <v>0</v>
      </c>
      <c r="J33" s="43" t="n">
        <f aca="false">0</f>
        <v>0</v>
      </c>
      <c r="K33" s="43" t="n">
        <f aca="false">0</f>
        <v>0</v>
      </c>
      <c r="L33" s="43" t="n">
        <f aca="false">$L$22*(IF(9=9,Bonus,0)+(1-Bonus)*INDEX($C$19:$V$19,1))</f>
        <v>0</v>
      </c>
      <c r="M33" s="43" t="n">
        <f aca="false">$L$22*(IF(10=9,Bonus,0)+(1-Bonus)*INDEX($C$19:$V$19,2))</f>
        <v>0</v>
      </c>
      <c r="N33" s="43" t="n">
        <f aca="false">$L$22*(IF(11=9,Bonus,0)+(1-Bonus)*INDEX($C$19:$V$19,3))</f>
        <v>0</v>
      </c>
      <c r="O33" s="43" t="n">
        <f aca="false">$L$22*(IF(12=9,Bonus,0)+(1-Bonus)*INDEX($C$19:$V$19,4))</f>
        <v>0</v>
      </c>
      <c r="P33" s="43" t="n">
        <f aca="false">$L$22*(IF(13=9,Bonus,0)+(1-Bonus)*INDEX($C$19:$V$19,5))</f>
        <v>0</v>
      </c>
      <c r="Q33" s="43" t="n">
        <f aca="false">$L$22*(IF(14=9,Bonus,0)+(1-Bonus)*INDEX($C$19:$V$19,6))</f>
        <v>0</v>
      </c>
      <c r="R33" s="43" t="n">
        <f aca="false">$L$22*(IF(15=9,Bonus,0)+(1-Bonus)*INDEX($C$19:$V$19,7))</f>
        <v>0</v>
      </c>
      <c r="S33" s="43" t="n">
        <f aca="false">$L$22*(IF(16=9,Bonus,0)+(1-Bonus)*INDEX($C$19:$V$19,8))</f>
        <v>0</v>
      </c>
      <c r="T33" s="43" t="n">
        <f aca="false">$L$22*(IF(17=9,Bonus,0)+(1-Bonus)*INDEX($C$19:$V$19,9))</f>
        <v>0</v>
      </c>
      <c r="U33" s="1"/>
      <c r="V33" s="1"/>
      <c r="W33" s="1"/>
      <c r="X33" s="1"/>
    </row>
    <row r="34" customFormat="false" ht="15" hidden="false" customHeight="false" outlineLevel="0" collapsed="false">
      <c r="A34" s="1"/>
      <c r="B34" s="3" t="s">
        <v>479</v>
      </c>
      <c r="C34" s="1"/>
      <c r="D34" s="43" t="n">
        <f aca="false">0</f>
        <v>0</v>
      </c>
      <c r="E34" s="43" t="n">
        <f aca="false">0</f>
        <v>0</v>
      </c>
      <c r="F34" s="43" t="n">
        <f aca="false">0</f>
        <v>0</v>
      </c>
      <c r="G34" s="43" t="n">
        <f aca="false">0</f>
        <v>0</v>
      </c>
      <c r="H34" s="43" t="n">
        <f aca="false">0</f>
        <v>0</v>
      </c>
      <c r="I34" s="43" t="n">
        <f aca="false">0</f>
        <v>0</v>
      </c>
      <c r="J34" s="43" t="n">
        <f aca="false">0</f>
        <v>0</v>
      </c>
      <c r="K34" s="43" t="n">
        <f aca="false">0</f>
        <v>0</v>
      </c>
      <c r="L34" s="43" t="n">
        <f aca="false">0</f>
        <v>0</v>
      </c>
      <c r="M34" s="43" t="n">
        <f aca="false">$M$22*(IF(10=10,Bonus,0)+(1-Bonus)*INDEX($C$19:$V$19,1))</f>
        <v>0</v>
      </c>
      <c r="N34" s="43" t="n">
        <f aca="false">$M$22*(IF(11=10,Bonus,0)+(1-Bonus)*INDEX($C$19:$V$19,2))</f>
        <v>0</v>
      </c>
      <c r="O34" s="43" t="n">
        <f aca="false">$M$22*(IF(12=10,Bonus,0)+(1-Bonus)*INDEX($C$19:$V$19,3))</f>
        <v>0</v>
      </c>
      <c r="P34" s="43" t="n">
        <f aca="false">$M$22*(IF(13=10,Bonus,0)+(1-Bonus)*INDEX($C$19:$V$19,4))</f>
        <v>0</v>
      </c>
      <c r="Q34" s="43" t="n">
        <f aca="false">$M$22*(IF(14=10,Bonus,0)+(1-Bonus)*INDEX($C$19:$V$19,5))</f>
        <v>0</v>
      </c>
      <c r="R34" s="43" t="n">
        <f aca="false">$M$22*(IF(15=10,Bonus,0)+(1-Bonus)*INDEX($C$19:$V$19,6))</f>
        <v>0</v>
      </c>
      <c r="S34" s="43" t="n">
        <f aca="false">$M$22*(IF(16=10,Bonus,0)+(1-Bonus)*INDEX($C$19:$V$19,7))</f>
        <v>0</v>
      </c>
      <c r="T34" s="43" t="n">
        <f aca="false">$M$22*(IF(17=10,Bonus,0)+(1-Bonus)*INDEX($C$19:$V$19,8))</f>
        <v>0</v>
      </c>
      <c r="U34" s="1"/>
      <c r="V34" s="1"/>
      <c r="W34" s="1"/>
      <c r="X34" s="1"/>
    </row>
    <row r="35" customFormat="false" ht="15" hidden="false" customHeight="false" outlineLevel="0" collapsed="false">
      <c r="A35" s="1"/>
      <c r="B35" s="3" t="s">
        <v>480</v>
      </c>
      <c r="C35" s="1"/>
      <c r="D35" s="43" t="n">
        <f aca="false">0</f>
        <v>0</v>
      </c>
      <c r="E35" s="43" t="n">
        <f aca="false">0</f>
        <v>0</v>
      </c>
      <c r="F35" s="43" t="n">
        <f aca="false">0</f>
        <v>0</v>
      </c>
      <c r="G35" s="43" t="n">
        <f aca="false">0</f>
        <v>0</v>
      </c>
      <c r="H35" s="43" t="n">
        <f aca="false">0</f>
        <v>0</v>
      </c>
      <c r="I35" s="43" t="n">
        <f aca="false">0</f>
        <v>0</v>
      </c>
      <c r="J35" s="43" t="n">
        <f aca="false">0</f>
        <v>0</v>
      </c>
      <c r="K35" s="43" t="n">
        <f aca="false">0</f>
        <v>0</v>
      </c>
      <c r="L35" s="43" t="n">
        <f aca="false">0</f>
        <v>0</v>
      </c>
      <c r="M35" s="43" t="n">
        <f aca="false">0</f>
        <v>0</v>
      </c>
      <c r="N35" s="43" t="n">
        <f aca="false">$N$22*(IF(11=11,Bonus,0)+(1-Bonus)*INDEX($C$19:$V$19,1))</f>
        <v>236703.99189388</v>
      </c>
      <c r="O35" s="43" t="n">
        <f aca="false">$N$22*(IF(12=11,Bonus,0)+(1-Bonus)*INDEX($C$19:$V$19,2))</f>
        <v>0</v>
      </c>
      <c r="P35" s="43" t="n">
        <f aca="false">$N$22*(IF(13=11,Bonus,0)+(1-Bonus)*INDEX($C$19:$V$19,3))</f>
        <v>0</v>
      </c>
      <c r="Q35" s="43" t="n">
        <f aca="false">$N$22*(IF(14=11,Bonus,0)+(1-Bonus)*INDEX($C$19:$V$19,4))</f>
        <v>0</v>
      </c>
      <c r="R35" s="43" t="n">
        <f aca="false">$N$22*(IF(15=11,Bonus,0)+(1-Bonus)*INDEX($C$19:$V$19,5))</f>
        <v>0</v>
      </c>
      <c r="S35" s="43" t="n">
        <f aca="false">$N$22*(IF(16=11,Bonus,0)+(1-Bonus)*INDEX($C$19:$V$19,6))</f>
        <v>0</v>
      </c>
      <c r="T35" s="43" t="n">
        <f aca="false">$N$22*(IF(17=11,Bonus,0)+(1-Bonus)*INDEX($C$19:$V$19,7))</f>
        <v>0</v>
      </c>
      <c r="U35" s="1"/>
      <c r="V35" s="1"/>
      <c r="W35" s="1"/>
      <c r="X35" s="1"/>
    </row>
    <row r="36" customFormat="false" ht="15" hidden="false" customHeight="false" outlineLevel="0" collapsed="false">
      <c r="A36" s="1"/>
      <c r="B36" s="3" t="s">
        <v>481</v>
      </c>
      <c r="C36" s="1"/>
      <c r="D36" s="43" t="n">
        <f aca="false">0</f>
        <v>0</v>
      </c>
      <c r="E36" s="43" t="n">
        <f aca="false">0</f>
        <v>0</v>
      </c>
      <c r="F36" s="43" t="n">
        <f aca="false">0</f>
        <v>0</v>
      </c>
      <c r="G36" s="43" t="n">
        <f aca="false">0</f>
        <v>0</v>
      </c>
      <c r="H36" s="43" t="n">
        <f aca="false">0</f>
        <v>0</v>
      </c>
      <c r="I36" s="43" t="n">
        <f aca="false">0</f>
        <v>0</v>
      </c>
      <c r="J36" s="43" t="n">
        <f aca="false">0</f>
        <v>0</v>
      </c>
      <c r="K36" s="43" t="n">
        <f aca="false">0</f>
        <v>0</v>
      </c>
      <c r="L36" s="43" t="n">
        <f aca="false">0</f>
        <v>0</v>
      </c>
      <c r="M36" s="43" t="n">
        <f aca="false">0</f>
        <v>0</v>
      </c>
      <c r="N36" s="43" t="n">
        <f aca="false">0</f>
        <v>0</v>
      </c>
      <c r="O36" s="43" t="n">
        <f aca="false">$O$22*(IF(12=12,Bonus,0)+(1-Bonus)*INDEX($C$19:$V$19,1))</f>
        <v>0</v>
      </c>
      <c r="P36" s="43" t="n">
        <f aca="false">$O$22*(IF(13=12,Bonus,0)+(1-Bonus)*INDEX($C$19:$V$19,2))</f>
        <v>0</v>
      </c>
      <c r="Q36" s="43" t="n">
        <f aca="false">$O$22*(IF(14=12,Bonus,0)+(1-Bonus)*INDEX($C$19:$V$19,3))</f>
        <v>0</v>
      </c>
      <c r="R36" s="43" t="n">
        <f aca="false">$O$22*(IF(15=12,Bonus,0)+(1-Bonus)*INDEX($C$19:$V$19,4))</f>
        <v>0</v>
      </c>
      <c r="S36" s="43" t="n">
        <f aca="false">$O$22*(IF(16=12,Bonus,0)+(1-Bonus)*INDEX($C$19:$V$19,5))</f>
        <v>0</v>
      </c>
      <c r="T36" s="43" t="n">
        <f aca="false">$O$22*(IF(17=12,Bonus,0)+(1-Bonus)*INDEX($C$19:$V$19,6))</f>
        <v>0</v>
      </c>
      <c r="U36" s="1"/>
      <c r="V36" s="1"/>
      <c r="W36" s="1"/>
      <c r="X36" s="1"/>
    </row>
    <row r="37" customFormat="false" ht="15" hidden="false" customHeight="false" outlineLevel="0" collapsed="false">
      <c r="A37" s="1"/>
      <c r="B37" s="3" t="s">
        <v>482</v>
      </c>
      <c r="C37" s="1"/>
      <c r="D37" s="43" t="n">
        <f aca="false">0</f>
        <v>0</v>
      </c>
      <c r="E37" s="43" t="n">
        <f aca="false">0</f>
        <v>0</v>
      </c>
      <c r="F37" s="43" t="n">
        <f aca="false">0</f>
        <v>0</v>
      </c>
      <c r="G37" s="43" t="n">
        <f aca="false">0</f>
        <v>0</v>
      </c>
      <c r="H37" s="43" t="n">
        <f aca="false">0</f>
        <v>0</v>
      </c>
      <c r="I37" s="43" t="n">
        <f aca="false">0</f>
        <v>0</v>
      </c>
      <c r="J37" s="43" t="n">
        <f aca="false">0</f>
        <v>0</v>
      </c>
      <c r="K37" s="43" t="n">
        <f aca="false">0</f>
        <v>0</v>
      </c>
      <c r="L37" s="43" t="n">
        <f aca="false">0</f>
        <v>0</v>
      </c>
      <c r="M37" s="43" t="n">
        <f aca="false">0</f>
        <v>0</v>
      </c>
      <c r="N37" s="43" t="n">
        <f aca="false">0</f>
        <v>0</v>
      </c>
      <c r="O37" s="43" t="n">
        <f aca="false">0</f>
        <v>0</v>
      </c>
      <c r="P37" s="43" t="n">
        <f aca="false">$P$22*(IF(13=13,Bonus,0)+(1-Bonus)*INDEX($C$19:$V$19,1))</f>
        <v>0</v>
      </c>
      <c r="Q37" s="43" t="n">
        <f aca="false">$P$22*(IF(14=13,Bonus,0)+(1-Bonus)*INDEX($C$19:$V$19,2))</f>
        <v>0</v>
      </c>
      <c r="R37" s="43" t="n">
        <f aca="false">$P$22*(IF(15=13,Bonus,0)+(1-Bonus)*INDEX($C$19:$V$19,3))</f>
        <v>0</v>
      </c>
      <c r="S37" s="43" t="n">
        <f aca="false">$P$22*(IF(16=13,Bonus,0)+(1-Bonus)*INDEX($C$19:$V$19,4))</f>
        <v>0</v>
      </c>
      <c r="T37" s="43" t="n">
        <f aca="false">$P$22*(IF(17=13,Bonus,0)+(1-Bonus)*INDEX($C$19:$V$19,5))</f>
        <v>0</v>
      </c>
      <c r="U37" s="1"/>
      <c r="V37" s="1"/>
      <c r="W37" s="1"/>
      <c r="X37" s="1"/>
    </row>
    <row r="38" customFormat="false" ht="15" hidden="false" customHeight="false" outlineLevel="0" collapsed="false">
      <c r="A38" s="1"/>
      <c r="B38" s="3" t="s">
        <v>483</v>
      </c>
      <c r="C38" s="1"/>
      <c r="D38" s="43" t="n">
        <f aca="false">0</f>
        <v>0</v>
      </c>
      <c r="E38" s="43" t="n">
        <f aca="false">0</f>
        <v>0</v>
      </c>
      <c r="F38" s="43" t="n">
        <f aca="false">0</f>
        <v>0</v>
      </c>
      <c r="G38" s="43" t="n">
        <f aca="false">0</f>
        <v>0</v>
      </c>
      <c r="H38" s="43" t="n">
        <f aca="false">0</f>
        <v>0</v>
      </c>
      <c r="I38" s="43" t="n">
        <f aca="false">0</f>
        <v>0</v>
      </c>
      <c r="J38" s="43" t="n">
        <f aca="false">0</f>
        <v>0</v>
      </c>
      <c r="K38" s="43" t="n">
        <f aca="false">0</f>
        <v>0</v>
      </c>
      <c r="L38" s="43" t="n">
        <f aca="false">0</f>
        <v>0</v>
      </c>
      <c r="M38" s="43" t="n">
        <f aca="false">0</f>
        <v>0</v>
      </c>
      <c r="N38" s="43" t="n">
        <f aca="false">0</f>
        <v>0</v>
      </c>
      <c r="O38" s="43" t="n">
        <f aca="false">0</f>
        <v>0</v>
      </c>
      <c r="P38" s="43" t="n">
        <f aca="false">0</f>
        <v>0</v>
      </c>
      <c r="Q38" s="43" t="n">
        <f aca="false">$Q$22*(IF(14=14,Bonus,0)+(1-Bonus)*INDEX($C$19:$V$19,1))</f>
        <v>0</v>
      </c>
      <c r="R38" s="43" t="n">
        <f aca="false">$Q$22*(IF(15=14,Bonus,0)+(1-Bonus)*INDEX($C$19:$V$19,2))</f>
        <v>0</v>
      </c>
      <c r="S38" s="43" t="n">
        <f aca="false">$Q$22*(IF(16=14,Bonus,0)+(1-Bonus)*INDEX($C$19:$V$19,3))</f>
        <v>0</v>
      </c>
      <c r="T38" s="43" t="n">
        <f aca="false">$Q$22*(IF(17=14,Bonus,0)+(1-Bonus)*INDEX($C$19:$V$19,4))</f>
        <v>0</v>
      </c>
      <c r="U38" s="1"/>
      <c r="V38" s="1"/>
      <c r="W38" s="1"/>
      <c r="X38" s="1"/>
    </row>
    <row r="39" customFormat="false" ht="15" hidden="false" customHeight="false" outlineLevel="0" collapsed="false">
      <c r="A39" s="1"/>
      <c r="B39" s="3" t="s">
        <v>484</v>
      </c>
      <c r="C39" s="1"/>
      <c r="D39" s="43" t="n">
        <f aca="false">0</f>
        <v>0</v>
      </c>
      <c r="E39" s="43" t="n">
        <f aca="false">0</f>
        <v>0</v>
      </c>
      <c r="F39" s="43" t="n">
        <f aca="false">0</f>
        <v>0</v>
      </c>
      <c r="G39" s="43" t="n">
        <f aca="false">0</f>
        <v>0</v>
      </c>
      <c r="H39" s="43" t="n">
        <f aca="false">0</f>
        <v>0</v>
      </c>
      <c r="I39" s="43" t="n">
        <f aca="false">0</f>
        <v>0</v>
      </c>
      <c r="J39" s="43" t="n">
        <f aca="false">0</f>
        <v>0</v>
      </c>
      <c r="K39" s="43" t="n">
        <f aca="false">0</f>
        <v>0</v>
      </c>
      <c r="L39" s="43" t="n">
        <f aca="false">0</f>
        <v>0</v>
      </c>
      <c r="M39" s="43" t="n">
        <f aca="false">0</f>
        <v>0</v>
      </c>
      <c r="N39" s="43" t="n">
        <f aca="false">0</f>
        <v>0</v>
      </c>
      <c r="O39" s="43" t="n">
        <f aca="false">0</f>
        <v>0</v>
      </c>
      <c r="P39" s="43" t="n">
        <f aca="false">0</f>
        <v>0</v>
      </c>
      <c r="Q39" s="43" t="n">
        <f aca="false">0</f>
        <v>0</v>
      </c>
      <c r="R39" s="43" t="n">
        <f aca="false">$R$22*(IF(15=15,Bonus,0)+(1-Bonus)*INDEX($C$19:$V$19,1))</f>
        <v>0</v>
      </c>
      <c r="S39" s="43" t="n">
        <f aca="false">$R$22*(IF(16=15,Bonus,0)+(1-Bonus)*INDEX($C$19:$V$19,2))</f>
        <v>0</v>
      </c>
      <c r="T39" s="43" t="n">
        <f aca="false">$R$22*(IF(17=15,Bonus,0)+(1-Bonus)*INDEX($C$19:$V$19,3))</f>
        <v>0</v>
      </c>
      <c r="U39" s="1"/>
      <c r="V39" s="1"/>
      <c r="W39" s="1"/>
      <c r="X39" s="1"/>
    </row>
    <row r="40" customFormat="false" ht="15" hidden="false" customHeight="false" outlineLevel="0" collapsed="false">
      <c r="A40" s="1"/>
      <c r="B40" s="3" t="s">
        <v>485</v>
      </c>
      <c r="C40" s="1"/>
      <c r="D40" s="43" t="n">
        <f aca="false">0</f>
        <v>0</v>
      </c>
      <c r="E40" s="43" t="n">
        <f aca="false">0</f>
        <v>0</v>
      </c>
      <c r="F40" s="43" t="n">
        <f aca="false">0</f>
        <v>0</v>
      </c>
      <c r="G40" s="43" t="n">
        <f aca="false">0</f>
        <v>0</v>
      </c>
      <c r="H40" s="43" t="n">
        <f aca="false">0</f>
        <v>0</v>
      </c>
      <c r="I40" s="43" t="n">
        <f aca="false">0</f>
        <v>0</v>
      </c>
      <c r="J40" s="43" t="n">
        <f aca="false">0</f>
        <v>0</v>
      </c>
      <c r="K40" s="43" t="n">
        <f aca="false">0</f>
        <v>0</v>
      </c>
      <c r="L40" s="43" t="n">
        <f aca="false">0</f>
        <v>0</v>
      </c>
      <c r="M40" s="43" t="n">
        <f aca="false">0</f>
        <v>0</v>
      </c>
      <c r="N40" s="43" t="n">
        <f aca="false">0</f>
        <v>0</v>
      </c>
      <c r="O40" s="43" t="n">
        <f aca="false">0</f>
        <v>0</v>
      </c>
      <c r="P40" s="43" t="n">
        <f aca="false">0</f>
        <v>0</v>
      </c>
      <c r="Q40" s="43" t="n">
        <f aca="false">0</f>
        <v>0</v>
      </c>
      <c r="R40" s="43" t="n">
        <f aca="false">0</f>
        <v>0</v>
      </c>
      <c r="S40" s="43" t="n">
        <f aca="false">$S$22*(IF(16=16,Bonus,0)+(1-Bonus)*INDEX($C$19:$V$19,1))</f>
        <v>0</v>
      </c>
      <c r="T40" s="43" t="n">
        <f aca="false">$S$22*(IF(17=16,Bonus,0)+(1-Bonus)*INDEX($C$19:$V$19,2))</f>
        <v>0</v>
      </c>
      <c r="U40" s="1"/>
      <c r="V40" s="1"/>
      <c r="W40" s="1"/>
      <c r="X40" s="1"/>
    </row>
    <row r="41" customFormat="false" ht="15" hidden="false" customHeight="false" outlineLevel="0" collapsed="false">
      <c r="A41" s="1"/>
      <c r="B41" s="3" t="s">
        <v>486</v>
      </c>
      <c r="C41" s="1"/>
      <c r="D41" s="43" t="n">
        <f aca="false">0</f>
        <v>0</v>
      </c>
      <c r="E41" s="43" t="n">
        <f aca="false">0</f>
        <v>0</v>
      </c>
      <c r="F41" s="43" t="n">
        <f aca="false">0</f>
        <v>0</v>
      </c>
      <c r="G41" s="43" t="n">
        <f aca="false">0</f>
        <v>0</v>
      </c>
      <c r="H41" s="43" t="n">
        <f aca="false">0</f>
        <v>0</v>
      </c>
      <c r="I41" s="43" t="n">
        <f aca="false">0</f>
        <v>0</v>
      </c>
      <c r="J41" s="43" t="n">
        <f aca="false">0</f>
        <v>0</v>
      </c>
      <c r="K41" s="43" t="n">
        <f aca="false">0</f>
        <v>0</v>
      </c>
      <c r="L41" s="43" t="n">
        <f aca="false">0</f>
        <v>0</v>
      </c>
      <c r="M41" s="43" t="n">
        <f aca="false">0</f>
        <v>0</v>
      </c>
      <c r="N41" s="43" t="n">
        <f aca="false">0</f>
        <v>0</v>
      </c>
      <c r="O41" s="43" t="n">
        <f aca="false">0</f>
        <v>0</v>
      </c>
      <c r="P41" s="43" t="n">
        <f aca="false">0</f>
        <v>0</v>
      </c>
      <c r="Q41" s="43" t="n">
        <f aca="false">0</f>
        <v>0</v>
      </c>
      <c r="R41" s="43" t="n">
        <f aca="false">0</f>
        <v>0</v>
      </c>
      <c r="S41" s="43" t="n">
        <f aca="false">0</f>
        <v>0</v>
      </c>
      <c r="T41" s="43" t="n">
        <f aca="false">$T$22*(IF(17=17,Bonus,0)+(1-Bonus)*INDEX($C$19:$V$19,1))</f>
        <v>0</v>
      </c>
      <c r="U41" s="1"/>
      <c r="V41" s="1"/>
      <c r="W41" s="1"/>
      <c r="X41" s="1"/>
    </row>
    <row r="42" customFormat="false" ht="15" hidden="false" customHeight="false" outlineLevel="0" collapsed="false">
      <c r="A42" s="1"/>
      <c r="B42" s="9" t="s">
        <v>487</v>
      </c>
      <c r="C42" s="1"/>
      <c r="D42" s="34" t="n">
        <f aca="false">SUM(D25:D41)</f>
        <v>60000</v>
      </c>
      <c r="E42" s="34" t="n">
        <f aca="false">SUM(E25:E41)</f>
        <v>0</v>
      </c>
      <c r="F42" s="34" t="n">
        <f aca="false">SUM(F25:F41)</f>
        <v>0</v>
      </c>
      <c r="G42" s="34" t="n">
        <f aca="false">SUM(G25:G41)</f>
        <v>419252.031725</v>
      </c>
      <c r="H42" s="34" t="n">
        <f aca="false">SUM(H25:H41)</f>
        <v>0</v>
      </c>
      <c r="I42" s="34" t="n">
        <f aca="false">SUM(I25:I41)</f>
        <v>0</v>
      </c>
      <c r="J42" s="34" t="n">
        <f aca="false">SUM(J25:J41)</f>
        <v>0</v>
      </c>
      <c r="K42" s="34" t="n">
        <f aca="false">SUM(K25:K41)</f>
        <v>0</v>
      </c>
      <c r="L42" s="34" t="n">
        <f aca="false">SUM(L25:L41)</f>
        <v>0</v>
      </c>
      <c r="M42" s="34" t="n">
        <f aca="false">SUM(M25:M41)</f>
        <v>0</v>
      </c>
      <c r="N42" s="34" t="n">
        <f aca="false">SUM(N25:N41)</f>
        <v>236703.99189388</v>
      </c>
      <c r="O42" s="34" t="n">
        <f aca="false">SUM(O25:O41)</f>
        <v>0</v>
      </c>
      <c r="P42" s="34" t="n">
        <f aca="false">SUM(P25:P41)</f>
        <v>0</v>
      </c>
      <c r="Q42" s="34" t="n">
        <f aca="false">SUM(Q25:Q41)</f>
        <v>0</v>
      </c>
      <c r="R42" s="34" t="n">
        <f aca="false">SUM(R25:R41)</f>
        <v>0</v>
      </c>
      <c r="S42" s="34" t="n">
        <f aca="false">SUM(S25:S41)</f>
        <v>0</v>
      </c>
      <c r="T42" s="34" t="n">
        <f aca="false">SUM(T25:T41)</f>
        <v>0</v>
      </c>
      <c r="U42" s="1"/>
      <c r="V42" s="1"/>
      <c r="W42" s="1"/>
      <c r="X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customFormat="false" ht="15" hidden="false" customHeight="false" outlineLevel="0" collapsed="false">
      <c r="A44" s="1"/>
      <c r="B44" s="4" t="s">
        <v>488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"/>
      <c r="W44" s="1"/>
      <c r="X44" s="1"/>
    </row>
    <row r="45" customFormat="false" ht="15" hidden="false" customHeight="false" outlineLevel="0" collapsed="false">
      <c r="A45" s="1"/>
      <c r="B45" s="3" t="s">
        <v>470</v>
      </c>
      <c r="C45" s="1"/>
      <c r="D45" s="43" t="n">
        <f aca="false">IF(1=1,MIN(NJ179,$D$22),0)+($D$22-MIN(NJ179,$D$22))*INDEX($C$19:$V$19,1)</f>
        <v>32000</v>
      </c>
      <c r="E45" s="43" t="n">
        <f aca="false">IF(2=1,MIN(NJ179,$D$22),0)+($D$22-MIN(NJ179,$D$22))*INDEX($C$19:$V$19,2)</f>
        <v>11200</v>
      </c>
      <c r="F45" s="43" t="n">
        <f aca="false">IF(3=1,MIN(NJ179,$D$22),0)+($D$22-MIN(NJ179,$D$22))*INDEX($C$19:$V$19,3)</f>
        <v>6720</v>
      </c>
      <c r="G45" s="43" t="n">
        <f aca="false">IF(4=1,MIN(NJ179,$D$22),0)+($D$22-MIN(NJ179,$D$22))*INDEX($C$19:$V$19,4)</f>
        <v>4032</v>
      </c>
      <c r="H45" s="43" t="n">
        <f aca="false">IF(5=1,MIN(NJ179,$D$22),0)+($D$22-MIN(NJ179,$D$22))*INDEX($C$19:$V$19,5)</f>
        <v>4032</v>
      </c>
      <c r="I45" s="43" t="n">
        <f aca="false">IF(6=1,MIN(NJ179,$D$22),0)+($D$22-MIN(NJ179,$D$22))*INDEX($C$19:$V$19,6)</f>
        <v>2016</v>
      </c>
      <c r="J45" s="43" t="n">
        <f aca="false">IF(7=1,MIN(NJ179,$D$22),0)+($D$22-MIN(NJ179,$D$22))*INDEX($C$19:$V$19,7)</f>
        <v>0</v>
      </c>
      <c r="K45" s="43" t="n">
        <f aca="false">IF(8=1,MIN(NJ179,$D$22),0)+($D$22-MIN(NJ179,$D$22))*INDEX($C$19:$V$19,8)</f>
        <v>0</v>
      </c>
      <c r="L45" s="43" t="n">
        <f aca="false">IF(9=1,MIN(NJ179,$D$22),0)+($D$22-MIN(NJ179,$D$22))*INDEX($C$19:$V$19,9)</f>
        <v>0</v>
      </c>
      <c r="M45" s="43" t="n">
        <f aca="false">IF(10=1,MIN(NJ179,$D$22),0)+($D$22-MIN(NJ179,$D$22))*INDEX($C$19:$V$19,10)</f>
        <v>0</v>
      </c>
      <c r="N45" s="43" t="n">
        <f aca="false">IF(11=1,MIN(NJ179,$D$22),0)+($D$22-MIN(NJ179,$D$22))*INDEX($C$19:$V$19,11)</f>
        <v>0</v>
      </c>
      <c r="O45" s="43" t="n">
        <f aca="false">IF(12=1,MIN(NJ179,$D$22),0)+($D$22-MIN(NJ179,$D$22))*INDEX($C$19:$V$19,12)</f>
        <v>0</v>
      </c>
      <c r="P45" s="43" t="n">
        <f aca="false">IF(13=1,MIN(NJ179,$D$22),0)+($D$22-MIN(NJ179,$D$22))*INDEX($C$19:$V$19,13)</f>
        <v>0</v>
      </c>
      <c r="Q45" s="43" t="n">
        <f aca="false">IF(14=1,MIN(NJ179,$D$22),0)+($D$22-MIN(NJ179,$D$22))*INDEX($C$19:$V$19,14)</f>
        <v>0</v>
      </c>
      <c r="R45" s="43" t="n">
        <f aca="false">IF(15=1,MIN(NJ179,$D$22),0)+($D$22-MIN(NJ179,$D$22))*INDEX($C$19:$V$19,15)</f>
        <v>0</v>
      </c>
      <c r="S45" s="43" t="n">
        <f aca="false">IF(16=1,MIN(NJ179,$D$22),0)+($D$22-MIN(NJ179,$D$22))*INDEX($C$19:$V$19,16)</f>
        <v>0</v>
      </c>
      <c r="T45" s="43" t="n">
        <f aca="false">IF(17=1,MIN(NJ179,$D$22),0)+($D$22-MIN(NJ179,$D$22))*INDEX($C$19:$V$19,17)</f>
        <v>0</v>
      </c>
      <c r="U45" s="1"/>
      <c r="V45" s="1"/>
      <c r="W45" s="1"/>
      <c r="X45" s="1"/>
    </row>
    <row r="46" customFormat="false" ht="15" hidden="false" customHeight="false" outlineLevel="0" collapsed="false">
      <c r="A46" s="1"/>
      <c r="B46" s="3" t="s">
        <v>471</v>
      </c>
      <c r="C46" s="1"/>
      <c r="D46" s="43" t="n">
        <f aca="false">0</f>
        <v>0</v>
      </c>
      <c r="E46" s="43" t="n">
        <f aca="false">IF(2=2,MIN(NJ179,$E$22),0)+($E$22-MIN(NJ179,$E$22))*INDEX($C$19:$V$19,1)</f>
        <v>0</v>
      </c>
      <c r="F46" s="43" t="n">
        <f aca="false">IF(3=2,MIN(NJ179,$E$22),0)+($E$22-MIN(NJ179,$E$22))*INDEX($C$19:$V$19,2)</f>
        <v>0</v>
      </c>
      <c r="G46" s="43" t="n">
        <f aca="false">IF(4=2,MIN(NJ179,$E$22),0)+($E$22-MIN(NJ179,$E$22))*INDEX($C$19:$V$19,3)</f>
        <v>0</v>
      </c>
      <c r="H46" s="43" t="n">
        <f aca="false">IF(5=2,MIN(NJ179,$E$22),0)+($E$22-MIN(NJ179,$E$22))*INDEX($C$19:$V$19,4)</f>
        <v>0</v>
      </c>
      <c r="I46" s="43" t="n">
        <f aca="false">IF(6=2,MIN(NJ179,$E$22),0)+($E$22-MIN(NJ179,$E$22))*INDEX($C$19:$V$19,5)</f>
        <v>0</v>
      </c>
      <c r="J46" s="43" t="n">
        <f aca="false">IF(7=2,MIN(NJ179,$E$22),0)+($E$22-MIN(NJ179,$E$22))*INDEX($C$19:$V$19,6)</f>
        <v>0</v>
      </c>
      <c r="K46" s="43" t="n">
        <f aca="false">IF(8=2,MIN(NJ179,$E$22),0)+($E$22-MIN(NJ179,$E$22))*INDEX($C$19:$V$19,7)</f>
        <v>0</v>
      </c>
      <c r="L46" s="43" t="n">
        <f aca="false">IF(9=2,MIN(NJ179,$E$22),0)+($E$22-MIN(NJ179,$E$22))*INDEX($C$19:$V$19,8)</f>
        <v>0</v>
      </c>
      <c r="M46" s="43" t="n">
        <f aca="false">IF(10=2,MIN(NJ179,$E$22),0)+($E$22-MIN(NJ179,$E$22))*INDEX($C$19:$V$19,9)</f>
        <v>0</v>
      </c>
      <c r="N46" s="43" t="n">
        <f aca="false">IF(11=2,MIN(NJ179,$E$22),0)+($E$22-MIN(NJ179,$E$22))*INDEX($C$19:$V$19,10)</f>
        <v>0</v>
      </c>
      <c r="O46" s="43" t="n">
        <f aca="false">IF(12=2,MIN(NJ179,$E$22),0)+($E$22-MIN(NJ179,$E$22))*INDEX($C$19:$V$19,11)</f>
        <v>0</v>
      </c>
      <c r="P46" s="43" t="n">
        <f aca="false">IF(13=2,MIN(NJ179,$E$22),0)+($E$22-MIN(NJ179,$E$22))*INDEX($C$19:$V$19,12)</f>
        <v>0</v>
      </c>
      <c r="Q46" s="43" t="n">
        <f aca="false">IF(14=2,MIN(NJ179,$E$22),0)+($E$22-MIN(NJ179,$E$22))*INDEX($C$19:$V$19,13)</f>
        <v>0</v>
      </c>
      <c r="R46" s="43" t="n">
        <f aca="false">IF(15=2,MIN(NJ179,$E$22),0)+($E$22-MIN(NJ179,$E$22))*INDEX($C$19:$V$19,14)</f>
        <v>0</v>
      </c>
      <c r="S46" s="43" t="n">
        <f aca="false">IF(16=2,MIN(NJ179,$E$22),0)+($E$22-MIN(NJ179,$E$22))*INDEX($C$19:$V$19,15)</f>
        <v>0</v>
      </c>
      <c r="T46" s="43" t="n">
        <f aca="false">IF(17=2,MIN(NJ179,$E$22),0)+($E$22-MIN(NJ179,$E$22))*INDEX($C$19:$V$19,16)</f>
        <v>0</v>
      </c>
      <c r="U46" s="1"/>
      <c r="V46" s="1"/>
      <c r="W46" s="1"/>
      <c r="X46" s="1"/>
    </row>
    <row r="47" customFormat="false" ht="15" hidden="false" customHeight="false" outlineLevel="0" collapsed="false">
      <c r="A47" s="1"/>
      <c r="B47" s="3" t="s">
        <v>472</v>
      </c>
      <c r="C47" s="1"/>
      <c r="D47" s="43" t="n">
        <f aca="false">0</f>
        <v>0</v>
      </c>
      <c r="E47" s="43" t="n">
        <f aca="false">0</f>
        <v>0</v>
      </c>
      <c r="F47" s="43" t="n">
        <f aca="false">IF(3=3,MIN(NJ179,$F$22),0)+($F$22-MIN(NJ179,$F$22))*INDEX($C$19:$V$19,1)</f>
        <v>0</v>
      </c>
      <c r="G47" s="43" t="n">
        <f aca="false">IF(4=3,MIN(NJ179,$F$22),0)+($F$22-MIN(NJ179,$F$22))*INDEX($C$19:$V$19,2)</f>
        <v>0</v>
      </c>
      <c r="H47" s="43" t="n">
        <f aca="false">IF(5=3,MIN(NJ179,$F$22),0)+($F$22-MIN(NJ179,$F$22))*INDEX($C$19:$V$19,3)</f>
        <v>0</v>
      </c>
      <c r="I47" s="43" t="n">
        <f aca="false">IF(6=3,MIN(NJ179,$F$22),0)+($F$22-MIN(NJ179,$F$22))*INDEX($C$19:$V$19,4)</f>
        <v>0</v>
      </c>
      <c r="J47" s="43" t="n">
        <f aca="false">IF(7=3,MIN(NJ179,$F$22),0)+($F$22-MIN(NJ179,$F$22))*INDEX($C$19:$V$19,5)</f>
        <v>0</v>
      </c>
      <c r="K47" s="43" t="n">
        <f aca="false">IF(8=3,MIN(NJ179,$F$22),0)+($F$22-MIN(NJ179,$F$22))*INDEX($C$19:$V$19,6)</f>
        <v>0</v>
      </c>
      <c r="L47" s="43" t="n">
        <f aca="false">IF(9=3,MIN(NJ179,$F$22),0)+($F$22-MIN(NJ179,$F$22))*INDEX($C$19:$V$19,7)</f>
        <v>0</v>
      </c>
      <c r="M47" s="43" t="n">
        <f aca="false">IF(10=3,MIN(NJ179,$F$22),0)+($F$22-MIN(NJ179,$F$22))*INDEX($C$19:$V$19,8)</f>
        <v>0</v>
      </c>
      <c r="N47" s="43" t="n">
        <f aca="false">IF(11=3,MIN(NJ179,$F$22),0)+($F$22-MIN(NJ179,$F$22))*INDEX($C$19:$V$19,9)</f>
        <v>0</v>
      </c>
      <c r="O47" s="43" t="n">
        <f aca="false">IF(12=3,MIN(NJ179,$F$22),0)+($F$22-MIN(NJ179,$F$22))*INDEX($C$19:$V$19,10)</f>
        <v>0</v>
      </c>
      <c r="P47" s="43" t="n">
        <f aca="false">IF(13=3,MIN(NJ179,$F$22),0)+($F$22-MIN(NJ179,$F$22))*INDEX($C$19:$V$19,11)</f>
        <v>0</v>
      </c>
      <c r="Q47" s="43" t="n">
        <f aca="false">IF(14=3,MIN(NJ179,$F$22),0)+($F$22-MIN(NJ179,$F$22))*INDEX($C$19:$V$19,12)</f>
        <v>0</v>
      </c>
      <c r="R47" s="43" t="n">
        <f aca="false">IF(15=3,MIN(NJ179,$F$22),0)+($F$22-MIN(NJ179,$F$22))*INDEX($C$19:$V$19,13)</f>
        <v>0</v>
      </c>
      <c r="S47" s="43" t="n">
        <f aca="false">IF(16=3,MIN(NJ179,$F$22),0)+($F$22-MIN(NJ179,$F$22))*INDEX($C$19:$V$19,14)</f>
        <v>0</v>
      </c>
      <c r="T47" s="43" t="n">
        <f aca="false">IF(17=3,MIN(NJ179,$F$22),0)+($F$22-MIN(NJ179,$F$22))*INDEX($C$19:$V$19,15)</f>
        <v>0</v>
      </c>
      <c r="U47" s="1"/>
      <c r="V47" s="1"/>
      <c r="W47" s="1"/>
      <c r="X47" s="1"/>
    </row>
    <row r="48" customFormat="false" ht="15" hidden="false" customHeight="false" outlineLevel="0" collapsed="false">
      <c r="A48" s="1"/>
      <c r="B48" s="3" t="s">
        <v>473</v>
      </c>
      <c r="C48" s="1"/>
      <c r="D48" s="43" t="n">
        <f aca="false">0</f>
        <v>0</v>
      </c>
      <c r="E48" s="43" t="n">
        <f aca="false">0</f>
        <v>0</v>
      </c>
      <c r="F48" s="43" t="n">
        <f aca="false">0</f>
        <v>0</v>
      </c>
      <c r="G48" s="43" t="n">
        <f aca="false">IF(4=4,MIN(NJ179,$G$22),0)+($G$22-MIN(NJ179,$G$22))*INDEX($C$19:$V$19,1)</f>
        <v>103850.406345</v>
      </c>
      <c r="H48" s="43" t="n">
        <f aca="false">IF(5=4,MIN(NJ179,$G$22),0)+($G$22-MIN(NJ179,$G$22))*INDEX($C$19:$V$19,2)</f>
        <v>126160.650152</v>
      </c>
      <c r="I48" s="43" t="n">
        <f aca="false">IF(6=4,MIN(NJ179,$G$22),0)+($G$22-MIN(NJ179,$G$22))*INDEX($C$19:$V$19,3)</f>
        <v>75696.3900912</v>
      </c>
      <c r="J48" s="43" t="n">
        <f aca="false">IF(7=4,MIN(NJ179,$G$22),0)+($G$22-MIN(NJ179,$G$22))*INDEX($C$19:$V$19,4)</f>
        <v>45417.83405472</v>
      </c>
      <c r="K48" s="43" t="n">
        <f aca="false">IF(8=4,MIN(NJ179,$G$22),0)+($G$22-MIN(NJ179,$G$22))*INDEX($C$19:$V$19,5)</f>
        <v>45417.83405472</v>
      </c>
      <c r="L48" s="43" t="n">
        <f aca="false">IF(9=4,MIN(NJ179,$G$22),0)+($G$22-MIN(NJ179,$G$22))*INDEX($C$19:$V$19,6)</f>
        <v>22708.91702736</v>
      </c>
      <c r="M48" s="43" t="n">
        <f aca="false">IF(10=4,MIN(NJ179,$G$22),0)+($G$22-MIN(NJ179,$G$22))*INDEX($C$19:$V$19,7)</f>
        <v>0</v>
      </c>
      <c r="N48" s="43" t="n">
        <f aca="false">IF(11=4,MIN(NJ179,$G$22),0)+($G$22-MIN(NJ179,$G$22))*INDEX($C$19:$V$19,8)</f>
        <v>0</v>
      </c>
      <c r="O48" s="43" t="n">
        <f aca="false">IF(12=4,MIN(NJ179,$G$22),0)+($G$22-MIN(NJ179,$G$22))*INDEX($C$19:$V$19,9)</f>
        <v>0</v>
      </c>
      <c r="P48" s="43" t="n">
        <f aca="false">IF(13=4,MIN(NJ179,$G$22),0)+($G$22-MIN(NJ179,$G$22))*INDEX($C$19:$V$19,10)</f>
        <v>0</v>
      </c>
      <c r="Q48" s="43" t="n">
        <f aca="false">IF(14=4,MIN(NJ179,$G$22),0)+($G$22-MIN(NJ179,$G$22))*INDEX($C$19:$V$19,11)</f>
        <v>0</v>
      </c>
      <c r="R48" s="43" t="n">
        <f aca="false">IF(15=4,MIN(NJ179,$G$22),0)+($G$22-MIN(NJ179,$G$22))*INDEX($C$19:$V$19,12)</f>
        <v>0</v>
      </c>
      <c r="S48" s="43" t="n">
        <f aca="false">IF(16=4,MIN(NJ179,$G$22),0)+($G$22-MIN(NJ179,$G$22))*INDEX($C$19:$V$19,13)</f>
        <v>0</v>
      </c>
      <c r="T48" s="43" t="n">
        <f aca="false">IF(17=4,MIN(NJ179,$G$22),0)+($G$22-MIN(NJ179,$G$22))*INDEX($C$19:$V$19,14)</f>
        <v>0</v>
      </c>
      <c r="U48" s="1"/>
      <c r="V48" s="1"/>
      <c r="W48" s="1"/>
      <c r="X48" s="1"/>
    </row>
    <row r="49" customFormat="false" ht="15" hidden="false" customHeight="false" outlineLevel="0" collapsed="false">
      <c r="A49" s="1"/>
      <c r="B49" s="3" t="s">
        <v>474</v>
      </c>
      <c r="C49" s="1"/>
      <c r="D49" s="43" t="n">
        <f aca="false">0</f>
        <v>0</v>
      </c>
      <c r="E49" s="43" t="n">
        <f aca="false">0</f>
        <v>0</v>
      </c>
      <c r="F49" s="43" t="n">
        <f aca="false">0</f>
        <v>0</v>
      </c>
      <c r="G49" s="43" t="n">
        <f aca="false">0</f>
        <v>0</v>
      </c>
      <c r="H49" s="43" t="n">
        <f aca="false">IF(5=5,MIN(NJ179,$H$22),0)+($H$22-MIN(NJ179,$H$22))*INDEX($C$19:$V$19,1)</f>
        <v>0</v>
      </c>
      <c r="I49" s="43" t="n">
        <f aca="false">IF(6=5,MIN(NJ179,$H$22),0)+($H$22-MIN(NJ179,$H$22))*INDEX($C$19:$V$19,2)</f>
        <v>0</v>
      </c>
      <c r="J49" s="43" t="n">
        <f aca="false">IF(7=5,MIN(NJ179,$H$22),0)+($H$22-MIN(NJ179,$H$22))*INDEX($C$19:$V$19,3)</f>
        <v>0</v>
      </c>
      <c r="K49" s="43" t="n">
        <f aca="false">IF(8=5,MIN(NJ179,$H$22),0)+($H$22-MIN(NJ179,$H$22))*INDEX($C$19:$V$19,4)</f>
        <v>0</v>
      </c>
      <c r="L49" s="43" t="n">
        <f aca="false">IF(9=5,MIN(NJ179,$H$22),0)+($H$22-MIN(NJ179,$H$22))*INDEX($C$19:$V$19,5)</f>
        <v>0</v>
      </c>
      <c r="M49" s="43" t="n">
        <f aca="false">IF(10=5,MIN(NJ179,$H$22),0)+($H$22-MIN(NJ179,$H$22))*INDEX($C$19:$V$19,6)</f>
        <v>0</v>
      </c>
      <c r="N49" s="43" t="n">
        <f aca="false">IF(11=5,MIN(NJ179,$H$22),0)+($H$22-MIN(NJ179,$H$22))*INDEX($C$19:$V$19,7)</f>
        <v>0</v>
      </c>
      <c r="O49" s="43" t="n">
        <f aca="false">IF(12=5,MIN(NJ179,$H$22),0)+($H$22-MIN(NJ179,$H$22))*INDEX($C$19:$V$19,8)</f>
        <v>0</v>
      </c>
      <c r="P49" s="43" t="n">
        <f aca="false">IF(13=5,MIN(NJ179,$H$22),0)+($H$22-MIN(NJ179,$H$22))*INDEX($C$19:$V$19,9)</f>
        <v>0</v>
      </c>
      <c r="Q49" s="43" t="n">
        <f aca="false">IF(14=5,MIN(NJ179,$H$22),0)+($H$22-MIN(NJ179,$H$22))*INDEX($C$19:$V$19,10)</f>
        <v>0</v>
      </c>
      <c r="R49" s="43" t="n">
        <f aca="false">IF(15=5,MIN(NJ179,$H$22),0)+($H$22-MIN(NJ179,$H$22))*INDEX($C$19:$V$19,11)</f>
        <v>0</v>
      </c>
      <c r="S49" s="43" t="n">
        <f aca="false">IF(16=5,MIN(NJ179,$H$22),0)+($H$22-MIN(NJ179,$H$22))*INDEX($C$19:$V$19,12)</f>
        <v>0</v>
      </c>
      <c r="T49" s="43" t="n">
        <f aca="false">IF(17=5,MIN(NJ179,$H$22),0)+($H$22-MIN(NJ179,$H$22))*INDEX($C$19:$V$19,13)</f>
        <v>0</v>
      </c>
      <c r="U49" s="1"/>
      <c r="V49" s="1"/>
      <c r="W49" s="1"/>
      <c r="X49" s="1"/>
    </row>
    <row r="50" customFormat="false" ht="15" hidden="false" customHeight="false" outlineLevel="0" collapsed="false">
      <c r="A50" s="1"/>
      <c r="B50" s="3" t="s">
        <v>475</v>
      </c>
      <c r="C50" s="1"/>
      <c r="D50" s="43" t="n">
        <f aca="false">0</f>
        <v>0</v>
      </c>
      <c r="E50" s="43" t="n">
        <f aca="false">0</f>
        <v>0</v>
      </c>
      <c r="F50" s="43" t="n">
        <f aca="false">0</f>
        <v>0</v>
      </c>
      <c r="G50" s="43" t="n">
        <f aca="false">0</f>
        <v>0</v>
      </c>
      <c r="H50" s="43" t="n">
        <f aca="false">0</f>
        <v>0</v>
      </c>
      <c r="I50" s="43" t="n">
        <f aca="false">IF(6=6,MIN(NJ179,$I$22),0)+($I$22-MIN(NJ179,$I$22))*INDEX($C$19:$V$19,1)</f>
        <v>0</v>
      </c>
      <c r="J50" s="43" t="n">
        <f aca="false">IF(7=6,MIN(NJ179,$I$22),0)+($I$22-MIN(NJ179,$I$22))*INDEX($C$19:$V$19,2)</f>
        <v>0</v>
      </c>
      <c r="K50" s="43" t="n">
        <f aca="false">IF(8=6,MIN(NJ179,$I$22),0)+($I$22-MIN(NJ179,$I$22))*INDEX($C$19:$V$19,3)</f>
        <v>0</v>
      </c>
      <c r="L50" s="43" t="n">
        <f aca="false">IF(9=6,MIN(NJ179,$I$22),0)+($I$22-MIN(NJ179,$I$22))*INDEX($C$19:$V$19,4)</f>
        <v>0</v>
      </c>
      <c r="M50" s="43" t="n">
        <f aca="false">IF(10=6,MIN(NJ179,$I$22),0)+($I$22-MIN(NJ179,$I$22))*INDEX($C$19:$V$19,5)</f>
        <v>0</v>
      </c>
      <c r="N50" s="43" t="n">
        <f aca="false">IF(11=6,MIN(NJ179,$I$22),0)+($I$22-MIN(NJ179,$I$22))*INDEX($C$19:$V$19,6)</f>
        <v>0</v>
      </c>
      <c r="O50" s="43" t="n">
        <f aca="false">IF(12=6,MIN(NJ179,$I$22),0)+($I$22-MIN(NJ179,$I$22))*INDEX($C$19:$V$19,7)</f>
        <v>0</v>
      </c>
      <c r="P50" s="43" t="n">
        <f aca="false">IF(13=6,MIN(NJ179,$I$22),0)+($I$22-MIN(NJ179,$I$22))*INDEX($C$19:$V$19,8)</f>
        <v>0</v>
      </c>
      <c r="Q50" s="43" t="n">
        <f aca="false">IF(14=6,MIN(NJ179,$I$22),0)+($I$22-MIN(NJ179,$I$22))*INDEX($C$19:$V$19,9)</f>
        <v>0</v>
      </c>
      <c r="R50" s="43" t="n">
        <f aca="false">IF(15=6,MIN(NJ179,$I$22),0)+($I$22-MIN(NJ179,$I$22))*INDEX($C$19:$V$19,10)</f>
        <v>0</v>
      </c>
      <c r="S50" s="43" t="n">
        <f aca="false">IF(16=6,MIN(NJ179,$I$22),0)+($I$22-MIN(NJ179,$I$22))*INDEX($C$19:$V$19,11)</f>
        <v>0</v>
      </c>
      <c r="T50" s="43" t="n">
        <f aca="false">IF(17=6,MIN(NJ179,$I$22),0)+($I$22-MIN(NJ179,$I$22))*INDEX($C$19:$V$19,12)</f>
        <v>0</v>
      </c>
      <c r="U50" s="1"/>
      <c r="V50" s="1"/>
      <c r="W50" s="1"/>
      <c r="X50" s="1"/>
    </row>
    <row r="51" customFormat="false" ht="15" hidden="false" customHeight="false" outlineLevel="0" collapsed="false">
      <c r="A51" s="1"/>
      <c r="B51" s="3" t="s">
        <v>476</v>
      </c>
      <c r="C51" s="1"/>
      <c r="D51" s="43" t="n">
        <f aca="false">0</f>
        <v>0</v>
      </c>
      <c r="E51" s="43" t="n">
        <f aca="false">0</f>
        <v>0</v>
      </c>
      <c r="F51" s="43" t="n">
        <f aca="false">0</f>
        <v>0</v>
      </c>
      <c r="G51" s="43" t="n">
        <f aca="false">0</f>
        <v>0</v>
      </c>
      <c r="H51" s="43" t="n">
        <f aca="false">0</f>
        <v>0</v>
      </c>
      <c r="I51" s="43" t="n">
        <f aca="false">0</f>
        <v>0</v>
      </c>
      <c r="J51" s="43" t="n">
        <f aca="false">IF(7=7,MIN(NJ179,$J$22),0)+($J$22-MIN(NJ179,$J$22))*INDEX($C$19:$V$19,1)</f>
        <v>0</v>
      </c>
      <c r="K51" s="43" t="n">
        <f aca="false">IF(8=7,MIN(NJ179,$J$22),0)+($J$22-MIN(NJ179,$J$22))*INDEX($C$19:$V$19,2)</f>
        <v>0</v>
      </c>
      <c r="L51" s="43" t="n">
        <f aca="false">IF(9=7,MIN(NJ179,$J$22),0)+($J$22-MIN(NJ179,$J$22))*INDEX($C$19:$V$19,3)</f>
        <v>0</v>
      </c>
      <c r="M51" s="43" t="n">
        <f aca="false">IF(10=7,MIN(NJ179,$J$22),0)+($J$22-MIN(NJ179,$J$22))*INDEX($C$19:$V$19,4)</f>
        <v>0</v>
      </c>
      <c r="N51" s="43" t="n">
        <f aca="false">IF(11=7,MIN(NJ179,$J$22),0)+($J$22-MIN(NJ179,$J$22))*INDEX($C$19:$V$19,5)</f>
        <v>0</v>
      </c>
      <c r="O51" s="43" t="n">
        <f aca="false">IF(12=7,MIN(NJ179,$J$22),0)+($J$22-MIN(NJ179,$J$22))*INDEX($C$19:$V$19,6)</f>
        <v>0</v>
      </c>
      <c r="P51" s="43" t="n">
        <f aca="false">IF(13=7,MIN(NJ179,$J$22),0)+($J$22-MIN(NJ179,$J$22))*INDEX($C$19:$V$19,7)</f>
        <v>0</v>
      </c>
      <c r="Q51" s="43" t="n">
        <f aca="false">IF(14=7,MIN(NJ179,$J$22),0)+($J$22-MIN(NJ179,$J$22))*INDEX($C$19:$V$19,8)</f>
        <v>0</v>
      </c>
      <c r="R51" s="43" t="n">
        <f aca="false">IF(15=7,MIN(NJ179,$J$22),0)+($J$22-MIN(NJ179,$J$22))*INDEX($C$19:$V$19,9)</f>
        <v>0</v>
      </c>
      <c r="S51" s="43" t="n">
        <f aca="false">IF(16=7,MIN(NJ179,$J$22),0)+($J$22-MIN(NJ179,$J$22))*INDEX($C$19:$V$19,10)</f>
        <v>0</v>
      </c>
      <c r="T51" s="43" t="n">
        <f aca="false">IF(17=7,MIN(NJ179,$J$22),0)+($J$22-MIN(NJ179,$J$22))*INDEX($C$19:$V$19,11)</f>
        <v>0</v>
      </c>
      <c r="U51" s="1"/>
      <c r="V51" s="1"/>
      <c r="W51" s="1"/>
      <c r="X51" s="1"/>
    </row>
    <row r="52" customFormat="false" ht="15" hidden="false" customHeight="false" outlineLevel="0" collapsed="false">
      <c r="A52" s="1"/>
      <c r="B52" s="3" t="s">
        <v>477</v>
      </c>
      <c r="C52" s="1"/>
      <c r="D52" s="43" t="n">
        <f aca="false">0</f>
        <v>0</v>
      </c>
      <c r="E52" s="43" t="n">
        <f aca="false">0</f>
        <v>0</v>
      </c>
      <c r="F52" s="43" t="n">
        <f aca="false">0</f>
        <v>0</v>
      </c>
      <c r="G52" s="43" t="n">
        <f aca="false">0</f>
        <v>0</v>
      </c>
      <c r="H52" s="43" t="n">
        <f aca="false">0</f>
        <v>0</v>
      </c>
      <c r="I52" s="43" t="n">
        <f aca="false">0</f>
        <v>0</v>
      </c>
      <c r="J52" s="43" t="n">
        <f aca="false">0</f>
        <v>0</v>
      </c>
      <c r="K52" s="43" t="n">
        <f aca="false">IF(8=8,MIN(NJ179,$K$22),0)+($K$22-MIN(NJ179,$K$22))*INDEX($C$19:$V$19,1)</f>
        <v>0</v>
      </c>
      <c r="L52" s="43" t="n">
        <f aca="false">IF(9=8,MIN(NJ179,$K$22),0)+($K$22-MIN(NJ179,$K$22))*INDEX($C$19:$V$19,2)</f>
        <v>0</v>
      </c>
      <c r="M52" s="43" t="n">
        <f aca="false">IF(10=8,MIN(NJ179,$K$22),0)+($K$22-MIN(NJ179,$K$22))*INDEX($C$19:$V$19,3)</f>
        <v>0</v>
      </c>
      <c r="N52" s="43" t="n">
        <f aca="false">IF(11=8,MIN(NJ179,$K$22),0)+($K$22-MIN(NJ179,$K$22))*INDEX($C$19:$V$19,4)</f>
        <v>0</v>
      </c>
      <c r="O52" s="43" t="n">
        <f aca="false">IF(12=8,MIN(NJ179,$K$22),0)+($K$22-MIN(NJ179,$K$22))*INDEX($C$19:$V$19,5)</f>
        <v>0</v>
      </c>
      <c r="P52" s="43" t="n">
        <f aca="false">IF(13=8,MIN(NJ179,$K$22),0)+($K$22-MIN(NJ179,$K$22))*INDEX($C$19:$V$19,6)</f>
        <v>0</v>
      </c>
      <c r="Q52" s="43" t="n">
        <f aca="false">IF(14=8,MIN(NJ179,$K$22),0)+($K$22-MIN(NJ179,$K$22))*INDEX($C$19:$V$19,7)</f>
        <v>0</v>
      </c>
      <c r="R52" s="43" t="n">
        <f aca="false">IF(15=8,MIN(NJ179,$K$22),0)+($K$22-MIN(NJ179,$K$22))*INDEX($C$19:$V$19,8)</f>
        <v>0</v>
      </c>
      <c r="S52" s="43" t="n">
        <f aca="false">IF(16=8,MIN(NJ179,$K$22),0)+($K$22-MIN(NJ179,$K$22))*INDEX($C$19:$V$19,9)</f>
        <v>0</v>
      </c>
      <c r="T52" s="43" t="n">
        <f aca="false">IF(17=8,MIN(NJ179,$K$22),0)+($K$22-MIN(NJ179,$K$22))*INDEX($C$19:$V$19,10)</f>
        <v>0</v>
      </c>
      <c r="U52" s="1"/>
      <c r="V52" s="1"/>
      <c r="W52" s="1"/>
      <c r="X52" s="1"/>
    </row>
    <row r="53" customFormat="false" ht="15" hidden="false" customHeight="false" outlineLevel="0" collapsed="false">
      <c r="A53" s="1"/>
      <c r="B53" s="3" t="s">
        <v>478</v>
      </c>
      <c r="C53" s="1"/>
      <c r="D53" s="43" t="n">
        <f aca="false">0</f>
        <v>0</v>
      </c>
      <c r="E53" s="43" t="n">
        <f aca="false">0</f>
        <v>0</v>
      </c>
      <c r="F53" s="43" t="n">
        <f aca="false">0</f>
        <v>0</v>
      </c>
      <c r="G53" s="43" t="n">
        <f aca="false">0</f>
        <v>0</v>
      </c>
      <c r="H53" s="43" t="n">
        <f aca="false">0</f>
        <v>0</v>
      </c>
      <c r="I53" s="43" t="n">
        <f aca="false">0</f>
        <v>0</v>
      </c>
      <c r="J53" s="43" t="n">
        <f aca="false">0</f>
        <v>0</v>
      </c>
      <c r="K53" s="43" t="n">
        <f aca="false">0</f>
        <v>0</v>
      </c>
      <c r="L53" s="43" t="n">
        <f aca="false">IF(9=9,MIN(NJ179,$L$22),0)+($L$22-MIN(NJ179,$L$22))*INDEX($C$19:$V$19,1)</f>
        <v>0</v>
      </c>
      <c r="M53" s="43" t="n">
        <f aca="false">IF(10=9,MIN(NJ179,$L$22),0)+($L$22-MIN(NJ179,$L$22))*INDEX($C$19:$V$19,2)</f>
        <v>0</v>
      </c>
      <c r="N53" s="43" t="n">
        <f aca="false">IF(11=9,MIN(NJ179,$L$22),0)+($L$22-MIN(NJ179,$L$22))*INDEX($C$19:$V$19,3)</f>
        <v>0</v>
      </c>
      <c r="O53" s="43" t="n">
        <f aca="false">IF(12=9,MIN(NJ179,$L$22),0)+($L$22-MIN(NJ179,$L$22))*INDEX($C$19:$V$19,4)</f>
        <v>0</v>
      </c>
      <c r="P53" s="43" t="n">
        <f aca="false">IF(13=9,MIN(NJ179,$L$22),0)+($L$22-MIN(NJ179,$L$22))*INDEX($C$19:$V$19,5)</f>
        <v>0</v>
      </c>
      <c r="Q53" s="43" t="n">
        <f aca="false">IF(14=9,MIN(NJ179,$L$22),0)+($L$22-MIN(NJ179,$L$22))*INDEX($C$19:$V$19,6)</f>
        <v>0</v>
      </c>
      <c r="R53" s="43" t="n">
        <f aca="false">IF(15=9,MIN(NJ179,$L$22),0)+($L$22-MIN(NJ179,$L$22))*INDEX($C$19:$V$19,7)</f>
        <v>0</v>
      </c>
      <c r="S53" s="43" t="n">
        <f aca="false">IF(16=9,MIN(NJ179,$L$22),0)+($L$22-MIN(NJ179,$L$22))*INDEX($C$19:$V$19,8)</f>
        <v>0</v>
      </c>
      <c r="T53" s="43" t="n">
        <f aca="false">IF(17=9,MIN(NJ179,$L$22),0)+($L$22-MIN(NJ179,$L$22))*INDEX($C$19:$V$19,9)</f>
        <v>0</v>
      </c>
      <c r="U53" s="1"/>
      <c r="V53" s="1"/>
      <c r="W53" s="1"/>
      <c r="X53" s="1"/>
    </row>
    <row r="54" customFormat="false" ht="15" hidden="false" customHeight="false" outlineLevel="0" collapsed="false">
      <c r="A54" s="1"/>
      <c r="B54" s="3" t="s">
        <v>479</v>
      </c>
      <c r="C54" s="1"/>
      <c r="D54" s="43" t="n">
        <f aca="false">0</f>
        <v>0</v>
      </c>
      <c r="E54" s="43" t="n">
        <f aca="false">0</f>
        <v>0</v>
      </c>
      <c r="F54" s="43" t="n">
        <f aca="false">0</f>
        <v>0</v>
      </c>
      <c r="G54" s="43" t="n">
        <f aca="false">0</f>
        <v>0</v>
      </c>
      <c r="H54" s="43" t="n">
        <f aca="false">0</f>
        <v>0</v>
      </c>
      <c r="I54" s="43" t="n">
        <f aca="false">0</f>
        <v>0</v>
      </c>
      <c r="J54" s="43" t="n">
        <f aca="false">0</f>
        <v>0</v>
      </c>
      <c r="K54" s="43" t="n">
        <f aca="false">0</f>
        <v>0</v>
      </c>
      <c r="L54" s="43" t="n">
        <f aca="false">0</f>
        <v>0</v>
      </c>
      <c r="M54" s="43" t="n">
        <f aca="false">IF(10=10,MIN(NJ179,$M$22),0)+($M$22-MIN(NJ179,$M$22))*INDEX($C$19:$V$19,1)</f>
        <v>0</v>
      </c>
      <c r="N54" s="43" t="n">
        <f aca="false">IF(11=10,MIN(NJ179,$M$22),0)+($M$22-MIN(NJ179,$M$22))*INDEX($C$19:$V$19,2)</f>
        <v>0</v>
      </c>
      <c r="O54" s="43" t="n">
        <f aca="false">IF(12=10,MIN(NJ179,$M$22),0)+($M$22-MIN(NJ179,$M$22))*INDEX($C$19:$V$19,3)</f>
        <v>0</v>
      </c>
      <c r="P54" s="43" t="n">
        <f aca="false">IF(13=10,MIN(NJ179,$M$22),0)+($M$22-MIN(NJ179,$M$22))*INDEX($C$19:$V$19,4)</f>
        <v>0</v>
      </c>
      <c r="Q54" s="43" t="n">
        <f aca="false">IF(14=10,MIN(NJ179,$M$22),0)+($M$22-MIN(NJ179,$M$22))*INDEX($C$19:$V$19,5)</f>
        <v>0</v>
      </c>
      <c r="R54" s="43" t="n">
        <f aca="false">IF(15=10,MIN(NJ179,$M$22),0)+($M$22-MIN(NJ179,$M$22))*INDEX($C$19:$V$19,6)</f>
        <v>0</v>
      </c>
      <c r="S54" s="43" t="n">
        <f aca="false">IF(16=10,MIN(NJ179,$M$22),0)+($M$22-MIN(NJ179,$M$22))*INDEX($C$19:$V$19,7)</f>
        <v>0</v>
      </c>
      <c r="T54" s="43" t="n">
        <f aca="false">IF(17=10,MIN(NJ179,$M$22),0)+($M$22-MIN(NJ179,$M$22))*INDEX($C$19:$V$19,8)</f>
        <v>0</v>
      </c>
      <c r="U54" s="1"/>
      <c r="V54" s="1"/>
      <c r="W54" s="1"/>
      <c r="X54" s="1"/>
    </row>
    <row r="55" customFormat="false" ht="15" hidden="false" customHeight="false" outlineLevel="0" collapsed="false">
      <c r="A55" s="1"/>
      <c r="B55" s="3" t="s">
        <v>480</v>
      </c>
      <c r="C55" s="1"/>
      <c r="D55" s="43" t="n">
        <f aca="false">0</f>
        <v>0</v>
      </c>
      <c r="E55" s="43" t="n">
        <f aca="false">0</f>
        <v>0</v>
      </c>
      <c r="F55" s="43" t="n">
        <f aca="false">0</f>
        <v>0</v>
      </c>
      <c r="G55" s="43" t="n">
        <f aca="false">0</f>
        <v>0</v>
      </c>
      <c r="H55" s="43" t="n">
        <f aca="false">0</f>
        <v>0</v>
      </c>
      <c r="I55" s="43" t="n">
        <f aca="false">0</f>
        <v>0</v>
      </c>
      <c r="J55" s="43" t="n">
        <f aca="false">0</f>
        <v>0</v>
      </c>
      <c r="K55" s="43" t="n">
        <f aca="false">0</f>
        <v>0</v>
      </c>
      <c r="L55" s="43" t="n">
        <f aca="false">0</f>
        <v>0</v>
      </c>
      <c r="M55" s="43" t="n">
        <f aca="false">0</f>
        <v>0</v>
      </c>
      <c r="N55" s="43" t="n">
        <f aca="false">IF(11=11,MIN(NJ179,$N$22),0)+($N$22-MIN(NJ179,$N$22))*INDEX($C$19:$V$19,1)</f>
        <v>67340.7983787761</v>
      </c>
      <c r="O55" s="43" t="n">
        <f aca="false">IF(12=11,MIN(NJ179,$N$22),0)+($N$22-MIN(NJ179,$N$22))*INDEX($C$19:$V$19,2)</f>
        <v>67745.2774060417</v>
      </c>
      <c r="P55" s="43" t="n">
        <f aca="false">IF(13=11,MIN(NJ179,$N$22),0)+($N$22-MIN(NJ179,$N$22))*INDEX($C$19:$V$19,3)</f>
        <v>40647.166443625</v>
      </c>
      <c r="Q55" s="43" t="n">
        <f aca="false">IF(14=11,MIN(NJ179,$N$22),0)+($N$22-MIN(NJ179,$N$22))*INDEX($C$19:$V$19,4)</f>
        <v>24388.299866175</v>
      </c>
      <c r="R55" s="43" t="n">
        <f aca="false">IF(15=11,MIN(NJ179,$N$22),0)+($N$22-MIN(NJ179,$N$22))*INDEX($C$19:$V$19,5)</f>
        <v>24388.299866175</v>
      </c>
      <c r="S55" s="43" t="n">
        <f aca="false">IF(16=11,MIN(NJ179,$N$22),0)+($N$22-MIN(NJ179,$N$22))*INDEX($C$19:$V$19,6)</f>
        <v>12194.1499330875</v>
      </c>
      <c r="T55" s="43" t="n">
        <f aca="false">IF(17=11,MIN(NJ179,$N$22),0)+($N$22-MIN(NJ179,$N$22))*INDEX($C$19:$V$19,7)</f>
        <v>0</v>
      </c>
      <c r="U55" s="1"/>
      <c r="V55" s="1"/>
      <c r="W55" s="1"/>
      <c r="X55" s="1"/>
    </row>
    <row r="56" customFormat="false" ht="15" hidden="false" customHeight="false" outlineLevel="0" collapsed="false">
      <c r="A56" s="1"/>
      <c r="B56" s="3" t="s">
        <v>481</v>
      </c>
      <c r="C56" s="1"/>
      <c r="D56" s="43" t="n">
        <f aca="false">0</f>
        <v>0</v>
      </c>
      <c r="E56" s="43" t="n">
        <f aca="false">0</f>
        <v>0</v>
      </c>
      <c r="F56" s="43" t="n">
        <f aca="false">0</f>
        <v>0</v>
      </c>
      <c r="G56" s="43" t="n">
        <f aca="false">0</f>
        <v>0</v>
      </c>
      <c r="H56" s="43" t="n">
        <f aca="false">0</f>
        <v>0</v>
      </c>
      <c r="I56" s="43" t="n">
        <f aca="false">0</f>
        <v>0</v>
      </c>
      <c r="J56" s="43" t="n">
        <f aca="false">0</f>
        <v>0</v>
      </c>
      <c r="K56" s="43" t="n">
        <f aca="false">0</f>
        <v>0</v>
      </c>
      <c r="L56" s="43" t="n">
        <f aca="false">0</f>
        <v>0</v>
      </c>
      <c r="M56" s="43" t="n">
        <f aca="false">0</f>
        <v>0</v>
      </c>
      <c r="N56" s="43" t="n">
        <f aca="false">0</f>
        <v>0</v>
      </c>
      <c r="O56" s="43" t="n">
        <f aca="false">IF(12=12,MIN(NJ179,$O$22),0)+($O$22-MIN(NJ179,$O$22))*INDEX($C$19:$V$19,1)</f>
        <v>0</v>
      </c>
      <c r="P56" s="43" t="n">
        <f aca="false">IF(13=12,MIN(NJ179,$O$22),0)+($O$22-MIN(NJ179,$O$22))*INDEX($C$19:$V$19,2)</f>
        <v>0</v>
      </c>
      <c r="Q56" s="43" t="n">
        <f aca="false">IF(14=12,MIN(NJ179,$O$22),0)+($O$22-MIN(NJ179,$O$22))*INDEX($C$19:$V$19,3)</f>
        <v>0</v>
      </c>
      <c r="R56" s="43" t="n">
        <f aca="false">IF(15=12,MIN(NJ179,$O$22),0)+($O$22-MIN(NJ179,$O$22))*INDEX($C$19:$V$19,4)</f>
        <v>0</v>
      </c>
      <c r="S56" s="43" t="n">
        <f aca="false">IF(16=12,MIN(NJ179,$O$22),0)+($O$22-MIN(NJ179,$O$22))*INDEX($C$19:$V$19,5)</f>
        <v>0</v>
      </c>
      <c r="T56" s="43" t="n">
        <f aca="false">IF(17=12,MIN(NJ179,$O$22),0)+($O$22-MIN(NJ179,$O$22))*INDEX($C$19:$V$19,6)</f>
        <v>0</v>
      </c>
      <c r="U56" s="1"/>
      <c r="V56" s="1"/>
      <c r="W56" s="1"/>
      <c r="X56" s="1"/>
    </row>
    <row r="57" customFormat="false" ht="15" hidden="false" customHeight="false" outlineLevel="0" collapsed="false">
      <c r="A57" s="1"/>
      <c r="B57" s="3" t="s">
        <v>482</v>
      </c>
      <c r="C57" s="1"/>
      <c r="D57" s="43" t="n">
        <f aca="false">0</f>
        <v>0</v>
      </c>
      <c r="E57" s="43" t="n">
        <f aca="false">0</f>
        <v>0</v>
      </c>
      <c r="F57" s="43" t="n">
        <f aca="false">0</f>
        <v>0</v>
      </c>
      <c r="G57" s="43" t="n">
        <f aca="false">0</f>
        <v>0</v>
      </c>
      <c r="H57" s="43" t="n">
        <f aca="false">0</f>
        <v>0</v>
      </c>
      <c r="I57" s="43" t="n">
        <f aca="false">0</f>
        <v>0</v>
      </c>
      <c r="J57" s="43" t="n">
        <f aca="false">0</f>
        <v>0</v>
      </c>
      <c r="K57" s="43" t="n">
        <f aca="false">0</f>
        <v>0</v>
      </c>
      <c r="L57" s="43" t="n">
        <f aca="false">0</f>
        <v>0</v>
      </c>
      <c r="M57" s="43" t="n">
        <f aca="false">0</f>
        <v>0</v>
      </c>
      <c r="N57" s="43" t="n">
        <f aca="false">0</f>
        <v>0</v>
      </c>
      <c r="O57" s="43" t="n">
        <f aca="false">0</f>
        <v>0</v>
      </c>
      <c r="P57" s="43" t="n">
        <f aca="false">IF(13=13,MIN(NJ179,$P$22),0)+($P$22-MIN(NJ179,$P$22))*INDEX($C$19:$V$19,1)</f>
        <v>0</v>
      </c>
      <c r="Q57" s="43" t="n">
        <f aca="false">IF(14=13,MIN(NJ179,$P$22),0)+($P$22-MIN(NJ179,$P$22))*INDEX($C$19:$V$19,2)</f>
        <v>0</v>
      </c>
      <c r="R57" s="43" t="n">
        <f aca="false">IF(15=13,MIN(NJ179,$P$22),0)+($P$22-MIN(NJ179,$P$22))*INDEX($C$19:$V$19,3)</f>
        <v>0</v>
      </c>
      <c r="S57" s="43" t="n">
        <f aca="false">IF(16=13,MIN(NJ179,$P$22),0)+($P$22-MIN(NJ179,$P$22))*INDEX($C$19:$V$19,4)</f>
        <v>0</v>
      </c>
      <c r="T57" s="43" t="n">
        <f aca="false">IF(17=13,MIN(NJ179,$P$22),0)+($P$22-MIN(NJ179,$P$22))*INDEX($C$19:$V$19,5)</f>
        <v>0</v>
      </c>
      <c r="U57" s="1"/>
      <c r="V57" s="1"/>
      <c r="W57" s="1"/>
      <c r="X57" s="1"/>
    </row>
    <row r="58" customFormat="false" ht="15" hidden="false" customHeight="false" outlineLevel="0" collapsed="false">
      <c r="A58" s="1"/>
      <c r="B58" s="3" t="s">
        <v>483</v>
      </c>
      <c r="C58" s="1"/>
      <c r="D58" s="43" t="n">
        <f aca="false">0</f>
        <v>0</v>
      </c>
      <c r="E58" s="43" t="n">
        <f aca="false">0</f>
        <v>0</v>
      </c>
      <c r="F58" s="43" t="n">
        <f aca="false">0</f>
        <v>0</v>
      </c>
      <c r="G58" s="43" t="n">
        <f aca="false">0</f>
        <v>0</v>
      </c>
      <c r="H58" s="43" t="n">
        <f aca="false">0</f>
        <v>0</v>
      </c>
      <c r="I58" s="43" t="n">
        <f aca="false">0</f>
        <v>0</v>
      </c>
      <c r="J58" s="43" t="n">
        <f aca="false">0</f>
        <v>0</v>
      </c>
      <c r="K58" s="43" t="n">
        <f aca="false">0</f>
        <v>0</v>
      </c>
      <c r="L58" s="43" t="n">
        <f aca="false">0</f>
        <v>0</v>
      </c>
      <c r="M58" s="43" t="n">
        <f aca="false">0</f>
        <v>0</v>
      </c>
      <c r="N58" s="43" t="n">
        <f aca="false">0</f>
        <v>0</v>
      </c>
      <c r="O58" s="43" t="n">
        <f aca="false">0</f>
        <v>0</v>
      </c>
      <c r="P58" s="43" t="n">
        <f aca="false">0</f>
        <v>0</v>
      </c>
      <c r="Q58" s="43" t="n">
        <f aca="false">IF(14=14,MIN(NJ179,$Q$22),0)+($Q$22-MIN(NJ179,$Q$22))*INDEX($C$19:$V$19,1)</f>
        <v>0</v>
      </c>
      <c r="R58" s="43" t="n">
        <f aca="false">IF(15=14,MIN(NJ179,$Q$22),0)+($Q$22-MIN(NJ179,$Q$22))*INDEX($C$19:$V$19,2)</f>
        <v>0</v>
      </c>
      <c r="S58" s="43" t="n">
        <f aca="false">IF(16=14,MIN(NJ179,$Q$22),0)+($Q$22-MIN(NJ179,$Q$22))*INDEX($C$19:$V$19,3)</f>
        <v>0</v>
      </c>
      <c r="T58" s="43" t="n">
        <f aca="false">IF(17=14,MIN(NJ179,$Q$22),0)+($Q$22-MIN(NJ179,$Q$22))*INDEX($C$19:$V$19,4)</f>
        <v>0</v>
      </c>
      <c r="U58" s="1"/>
      <c r="V58" s="1"/>
      <c r="W58" s="1"/>
      <c r="X58" s="1"/>
    </row>
    <row r="59" customFormat="false" ht="15" hidden="false" customHeight="false" outlineLevel="0" collapsed="false">
      <c r="A59" s="1"/>
      <c r="B59" s="3" t="s">
        <v>484</v>
      </c>
      <c r="C59" s="1"/>
      <c r="D59" s="43" t="n">
        <f aca="false">0</f>
        <v>0</v>
      </c>
      <c r="E59" s="43" t="n">
        <f aca="false">0</f>
        <v>0</v>
      </c>
      <c r="F59" s="43" t="n">
        <f aca="false">0</f>
        <v>0</v>
      </c>
      <c r="G59" s="43" t="n">
        <f aca="false">0</f>
        <v>0</v>
      </c>
      <c r="H59" s="43" t="n">
        <f aca="false">0</f>
        <v>0</v>
      </c>
      <c r="I59" s="43" t="n">
        <f aca="false">0</f>
        <v>0</v>
      </c>
      <c r="J59" s="43" t="n">
        <f aca="false">0</f>
        <v>0</v>
      </c>
      <c r="K59" s="43" t="n">
        <f aca="false">0</f>
        <v>0</v>
      </c>
      <c r="L59" s="43" t="n">
        <f aca="false">0</f>
        <v>0</v>
      </c>
      <c r="M59" s="43" t="n">
        <f aca="false">0</f>
        <v>0</v>
      </c>
      <c r="N59" s="43" t="n">
        <f aca="false">0</f>
        <v>0</v>
      </c>
      <c r="O59" s="43" t="n">
        <f aca="false">0</f>
        <v>0</v>
      </c>
      <c r="P59" s="43" t="n">
        <f aca="false">0</f>
        <v>0</v>
      </c>
      <c r="Q59" s="43" t="n">
        <f aca="false">0</f>
        <v>0</v>
      </c>
      <c r="R59" s="43" t="n">
        <f aca="false">IF(15=15,MIN(NJ179,$R$22),0)+($R$22-MIN(NJ179,$R$22))*INDEX($C$19:$V$19,1)</f>
        <v>0</v>
      </c>
      <c r="S59" s="43" t="n">
        <f aca="false">IF(16=15,MIN(NJ179,$R$22),0)+($R$22-MIN(NJ179,$R$22))*INDEX($C$19:$V$19,2)</f>
        <v>0</v>
      </c>
      <c r="T59" s="43" t="n">
        <f aca="false">IF(17=15,MIN(NJ179,$R$22),0)+($R$22-MIN(NJ179,$R$22))*INDEX($C$19:$V$19,3)</f>
        <v>0</v>
      </c>
      <c r="U59" s="1"/>
      <c r="V59" s="1"/>
      <c r="W59" s="1"/>
      <c r="X59" s="1"/>
    </row>
    <row r="60" customFormat="false" ht="15" hidden="false" customHeight="false" outlineLevel="0" collapsed="false">
      <c r="A60" s="1"/>
      <c r="B60" s="3" t="s">
        <v>485</v>
      </c>
      <c r="C60" s="1"/>
      <c r="D60" s="43" t="n">
        <f aca="false">0</f>
        <v>0</v>
      </c>
      <c r="E60" s="43" t="n">
        <f aca="false">0</f>
        <v>0</v>
      </c>
      <c r="F60" s="43" t="n">
        <f aca="false">0</f>
        <v>0</v>
      </c>
      <c r="G60" s="43" t="n">
        <f aca="false">0</f>
        <v>0</v>
      </c>
      <c r="H60" s="43" t="n">
        <f aca="false">0</f>
        <v>0</v>
      </c>
      <c r="I60" s="43" t="n">
        <f aca="false">0</f>
        <v>0</v>
      </c>
      <c r="J60" s="43" t="n">
        <f aca="false">0</f>
        <v>0</v>
      </c>
      <c r="K60" s="43" t="n">
        <f aca="false">0</f>
        <v>0</v>
      </c>
      <c r="L60" s="43" t="n">
        <f aca="false">0</f>
        <v>0</v>
      </c>
      <c r="M60" s="43" t="n">
        <f aca="false">0</f>
        <v>0</v>
      </c>
      <c r="N60" s="43" t="n">
        <f aca="false">0</f>
        <v>0</v>
      </c>
      <c r="O60" s="43" t="n">
        <f aca="false">0</f>
        <v>0</v>
      </c>
      <c r="P60" s="43" t="n">
        <f aca="false">0</f>
        <v>0</v>
      </c>
      <c r="Q60" s="43" t="n">
        <f aca="false">0</f>
        <v>0</v>
      </c>
      <c r="R60" s="43" t="n">
        <f aca="false">0</f>
        <v>0</v>
      </c>
      <c r="S60" s="43" t="n">
        <f aca="false">IF(16=16,MIN(NJ179,$S$22),0)+($S$22-MIN(NJ179,$S$22))*INDEX($C$19:$V$19,1)</f>
        <v>0</v>
      </c>
      <c r="T60" s="43" t="n">
        <f aca="false">IF(17=16,MIN(NJ179,$S$22),0)+($S$22-MIN(NJ179,$S$22))*INDEX($C$19:$V$19,2)</f>
        <v>0</v>
      </c>
      <c r="U60" s="1"/>
      <c r="V60" s="1"/>
      <c r="W60" s="1"/>
      <c r="X60" s="1"/>
    </row>
    <row r="61" customFormat="false" ht="15" hidden="false" customHeight="false" outlineLevel="0" collapsed="false">
      <c r="A61" s="1"/>
      <c r="B61" s="3" t="s">
        <v>486</v>
      </c>
      <c r="C61" s="1"/>
      <c r="D61" s="43" t="n">
        <f aca="false">0</f>
        <v>0</v>
      </c>
      <c r="E61" s="43" t="n">
        <f aca="false">0</f>
        <v>0</v>
      </c>
      <c r="F61" s="43" t="n">
        <f aca="false">0</f>
        <v>0</v>
      </c>
      <c r="G61" s="43" t="n">
        <f aca="false">0</f>
        <v>0</v>
      </c>
      <c r="H61" s="43" t="n">
        <f aca="false">0</f>
        <v>0</v>
      </c>
      <c r="I61" s="43" t="n">
        <f aca="false">0</f>
        <v>0</v>
      </c>
      <c r="J61" s="43" t="n">
        <f aca="false">0</f>
        <v>0</v>
      </c>
      <c r="K61" s="43" t="n">
        <f aca="false">0</f>
        <v>0</v>
      </c>
      <c r="L61" s="43" t="n">
        <f aca="false">0</f>
        <v>0</v>
      </c>
      <c r="M61" s="43" t="n">
        <f aca="false">0</f>
        <v>0</v>
      </c>
      <c r="N61" s="43" t="n">
        <f aca="false">0</f>
        <v>0</v>
      </c>
      <c r="O61" s="43" t="n">
        <f aca="false">0</f>
        <v>0</v>
      </c>
      <c r="P61" s="43" t="n">
        <f aca="false">0</f>
        <v>0</v>
      </c>
      <c r="Q61" s="43" t="n">
        <f aca="false">0</f>
        <v>0</v>
      </c>
      <c r="R61" s="43" t="n">
        <f aca="false">0</f>
        <v>0</v>
      </c>
      <c r="S61" s="43" t="n">
        <f aca="false">0</f>
        <v>0</v>
      </c>
      <c r="T61" s="43" t="n">
        <f aca="false">IF(17=17,MIN(NJ179,$T$22),0)+($T$22-MIN(NJ179,$T$22))*INDEX($C$19:$V$19,1)</f>
        <v>0</v>
      </c>
      <c r="U61" s="1"/>
      <c r="V61" s="1"/>
      <c r="W61" s="1"/>
      <c r="X61" s="1"/>
    </row>
    <row r="62" customFormat="false" ht="15" hidden="false" customHeight="false" outlineLevel="0" collapsed="false">
      <c r="A62" s="1"/>
      <c r="B62" s="9" t="s">
        <v>489</v>
      </c>
      <c r="C62" s="1"/>
      <c r="D62" s="34" t="n">
        <f aca="false">SUM(D45:D61)</f>
        <v>32000</v>
      </c>
      <c r="E62" s="34" t="n">
        <f aca="false">SUM(E45:E61)</f>
        <v>11200</v>
      </c>
      <c r="F62" s="34" t="n">
        <f aca="false">SUM(F45:F61)</f>
        <v>6720</v>
      </c>
      <c r="G62" s="34" t="n">
        <f aca="false">SUM(G45:G61)</f>
        <v>107882.406345</v>
      </c>
      <c r="H62" s="34" t="n">
        <f aca="false">SUM(H45:H61)</f>
        <v>130192.650152</v>
      </c>
      <c r="I62" s="34" t="n">
        <f aca="false">SUM(I45:I61)</f>
        <v>77712.3900912</v>
      </c>
      <c r="J62" s="34" t="n">
        <f aca="false">SUM(J45:J61)</f>
        <v>45417.83405472</v>
      </c>
      <c r="K62" s="34" t="n">
        <f aca="false">SUM(K45:K61)</f>
        <v>45417.83405472</v>
      </c>
      <c r="L62" s="34" t="n">
        <f aca="false">SUM(L45:L61)</f>
        <v>22708.91702736</v>
      </c>
      <c r="M62" s="34" t="n">
        <f aca="false">SUM(M45:M61)</f>
        <v>0</v>
      </c>
      <c r="N62" s="34" t="n">
        <f aca="false">SUM(N45:N61)</f>
        <v>67340.7983787761</v>
      </c>
      <c r="O62" s="34" t="n">
        <f aca="false">SUM(O45:O61)</f>
        <v>67745.2774060417</v>
      </c>
      <c r="P62" s="34" t="n">
        <f aca="false">SUM(P45:P61)</f>
        <v>40647.166443625</v>
      </c>
      <c r="Q62" s="34" t="n">
        <f aca="false">SUM(Q45:Q61)</f>
        <v>24388.299866175</v>
      </c>
      <c r="R62" s="34" t="n">
        <f aca="false">SUM(R45:R61)</f>
        <v>24388.299866175</v>
      </c>
      <c r="S62" s="34" t="n">
        <f aca="false">SUM(S45:S61)</f>
        <v>12194.1499330875</v>
      </c>
      <c r="T62" s="34" t="n">
        <f aca="false">SUM(T45:T61)</f>
        <v>0</v>
      </c>
      <c r="U62" s="1"/>
      <c r="V62" s="1"/>
      <c r="W62" s="1"/>
      <c r="X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customFormat="false" ht="15" hidden="false" customHeight="false" outlineLevel="0" collapsed="false">
      <c r="A64" s="1"/>
      <c r="B64" s="4" t="s">
        <v>490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1"/>
      <c r="W64" s="1"/>
      <c r="X64" s="1"/>
    </row>
    <row r="65" customFormat="false" ht="15" hidden="false" customHeight="false" outlineLevel="0" collapsed="false">
      <c r="A65" s="1"/>
      <c r="B65" s="6" t="s">
        <v>491</v>
      </c>
      <c r="C65" s="1"/>
      <c r="D65" s="25" t="n">
        <f aca="false">AllocLHI*(IF(1=1,Bonus,0)+(1-Bonus)*INDEX($C$18:$V$18,1))</f>
        <v>25000</v>
      </c>
      <c r="E65" s="25" t="n">
        <f aca="false">AllocLHI*(IF(2=1,Bonus,0)+(1-Bonus)*INDEX($C$18:$V$18,2))</f>
        <v>0</v>
      </c>
      <c r="F65" s="25" t="n">
        <f aca="false">AllocLHI*(IF(3=1,Bonus,0)+(1-Bonus)*INDEX($C$18:$V$18,3))</f>
        <v>0</v>
      </c>
      <c r="G65" s="25" t="n">
        <f aca="false">AllocLHI*(IF(4=1,Bonus,0)+(1-Bonus)*INDEX($C$18:$V$18,4))</f>
        <v>0</v>
      </c>
      <c r="H65" s="25" t="n">
        <f aca="false">AllocLHI*(IF(5=1,Bonus,0)+(1-Bonus)*INDEX($C$18:$V$18,5))</f>
        <v>0</v>
      </c>
      <c r="I65" s="25" t="n">
        <f aca="false">AllocLHI*(IF(6=1,Bonus,0)+(1-Bonus)*INDEX($C$18:$V$18,6))</f>
        <v>0</v>
      </c>
      <c r="J65" s="25" t="n">
        <f aca="false">AllocLHI*(IF(7=1,Bonus,0)+(1-Bonus)*INDEX($C$18:$V$18,7))</f>
        <v>0</v>
      </c>
      <c r="K65" s="25" t="n">
        <f aca="false">AllocLHI*(IF(8=1,Bonus,0)+(1-Bonus)*INDEX($C$18:$V$18,8))</f>
        <v>0</v>
      </c>
      <c r="L65" s="25" t="n">
        <f aca="false">AllocLHI*(IF(9=1,Bonus,0)+(1-Bonus)*INDEX($C$18:$V$18,9))</f>
        <v>0</v>
      </c>
      <c r="M65" s="25" t="n">
        <f aca="false">AllocLHI*(IF(10=1,Bonus,0)+(1-Bonus)*INDEX($C$18:$V$18,10))</f>
        <v>0</v>
      </c>
      <c r="N65" s="25" t="n">
        <f aca="false">AllocLHI*(IF(11=1,Bonus,0)+(1-Bonus)*INDEX($C$18:$V$18,11))</f>
        <v>0</v>
      </c>
      <c r="O65" s="25" t="n">
        <f aca="false">AllocLHI*(IF(12=1,Bonus,0)+(1-Bonus)*INDEX($C$18:$V$18,12))</f>
        <v>0</v>
      </c>
      <c r="P65" s="25" t="n">
        <f aca="false">AllocLHI*(IF(13=1,Bonus,0)+(1-Bonus)*INDEX($C$18:$V$18,13))</f>
        <v>0</v>
      </c>
      <c r="Q65" s="25" t="n">
        <f aca="false">AllocLHI*(IF(14=1,Bonus,0)+(1-Bonus)*INDEX($C$18:$V$18,14))</f>
        <v>0</v>
      </c>
      <c r="R65" s="25" t="n">
        <f aca="false">AllocLHI*(IF(15=1,Bonus,0)+(1-Bonus)*INDEX($C$18:$V$18,15))</f>
        <v>0</v>
      </c>
      <c r="S65" s="25" t="n">
        <f aca="false">AllocLHI*(IF(16=1,Bonus,0)+(1-Bonus)*INDEX($C$18:$V$18,16))</f>
        <v>0</v>
      </c>
      <c r="T65" s="25" t="n">
        <f aca="false">AllocLHI*(IF(17=1,Bonus,0)+(1-Bonus)*INDEX($C$18:$V$18,17))</f>
        <v>0</v>
      </c>
      <c r="U65" s="1"/>
      <c r="V65" s="1"/>
      <c r="W65" s="1"/>
      <c r="X65" s="1"/>
    </row>
    <row r="66" customFormat="false" ht="15" hidden="false" customHeight="false" outlineLevel="0" collapsed="false">
      <c r="A66" s="1"/>
      <c r="B66" s="6" t="s">
        <v>492</v>
      </c>
      <c r="C66" s="1"/>
      <c r="D66" s="25" t="n">
        <f aca="false">AllocLHI*INDEX($C$18:$V$18,1)</f>
        <v>833.333333333333</v>
      </c>
      <c r="E66" s="25" t="n">
        <f aca="false">AllocLHI*INDEX($C$18:$V$18,2)</f>
        <v>1666.66666666667</v>
      </c>
      <c r="F66" s="25" t="n">
        <f aca="false">AllocLHI*INDEX($C$18:$V$18,3)</f>
        <v>1666.66666666667</v>
      </c>
      <c r="G66" s="25" t="n">
        <f aca="false">AllocLHI*INDEX($C$18:$V$18,4)</f>
        <v>1666.66666666667</v>
      </c>
      <c r="H66" s="25" t="n">
        <f aca="false">AllocLHI*INDEX($C$18:$V$18,5)</f>
        <v>1666.66666666667</v>
      </c>
      <c r="I66" s="25" t="n">
        <f aca="false">AllocLHI*INDEX($C$18:$V$18,6)</f>
        <v>1666.66666666667</v>
      </c>
      <c r="J66" s="25" t="n">
        <f aca="false">AllocLHI*INDEX($C$18:$V$18,7)</f>
        <v>1666.66666666667</v>
      </c>
      <c r="K66" s="25" t="n">
        <f aca="false">AllocLHI*INDEX($C$18:$V$18,8)</f>
        <v>1666.66666666667</v>
      </c>
      <c r="L66" s="25" t="n">
        <f aca="false">AllocLHI*INDEX($C$18:$V$18,9)</f>
        <v>1666.66666666667</v>
      </c>
      <c r="M66" s="25" t="n">
        <f aca="false">AllocLHI*INDEX($C$18:$V$18,10)</f>
        <v>1666.66666666667</v>
      </c>
      <c r="N66" s="25" t="n">
        <f aca="false">AllocLHI*INDEX($C$18:$V$18,11)</f>
        <v>1666.66666666667</v>
      </c>
      <c r="O66" s="25" t="n">
        <f aca="false">AllocLHI*INDEX($C$18:$V$18,12)</f>
        <v>1666.66666666667</v>
      </c>
      <c r="P66" s="25" t="n">
        <f aca="false">AllocLHI*INDEX($C$18:$V$18,13)</f>
        <v>1666.66666666667</v>
      </c>
      <c r="Q66" s="25" t="n">
        <f aca="false">AllocLHI*INDEX($C$18:$V$18,14)</f>
        <v>1666.66666666667</v>
      </c>
      <c r="R66" s="25" t="n">
        <f aca="false">AllocLHI*INDEX($C$18:$V$18,15)</f>
        <v>1666.66666666667</v>
      </c>
      <c r="S66" s="25" t="n">
        <f aca="false">AllocLHI*INDEX($C$18:$V$18,16)</f>
        <v>833.333333333333</v>
      </c>
      <c r="T66" s="25" t="n">
        <f aca="false">AllocLHI*INDEX($C$18:$V$18,17)</f>
        <v>0</v>
      </c>
      <c r="U66" s="1"/>
      <c r="V66" s="1"/>
      <c r="W66" s="1"/>
      <c r="X66" s="1"/>
    </row>
    <row r="67" customFormat="false" ht="15" hidden="false" customHeight="false" outlineLevel="0" collapsed="false">
      <c r="A67" s="1"/>
      <c r="B67" s="6" t="s">
        <v>493</v>
      </c>
      <c r="C67" s="1"/>
      <c r="D67" s="25" t="n">
        <f aca="false">IF(1&lt;=15,(Goodwill+AllocNoncompete)/15,0)</f>
        <v>25666.6666666667</v>
      </c>
      <c r="E67" s="25" t="n">
        <f aca="false">IF(2&lt;=15,(Goodwill+AllocNoncompete)/15,0)</f>
        <v>25666.6666666667</v>
      </c>
      <c r="F67" s="25" t="n">
        <f aca="false">IF(3&lt;=15,(Goodwill+AllocNoncompete)/15,0)</f>
        <v>25666.6666666667</v>
      </c>
      <c r="G67" s="25" t="n">
        <f aca="false">IF(4&lt;=15,(Goodwill+AllocNoncompete)/15,0)</f>
        <v>25666.6666666667</v>
      </c>
      <c r="H67" s="25" t="n">
        <f aca="false">IF(5&lt;=15,(Goodwill+AllocNoncompete)/15,0)</f>
        <v>25666.6666666667</v>
      </c>
      <c r="I67" s="25" t="n">
        <f aca="false">IF(6&lt;=15,(Goodwill+AllocNoncompete)/15,0)</f>
        <v>25666.6666666667</v>
      </c>
      <c r="J67" s="25" t="n">
        <f aca="false">IF(7&lt;=15,(Goodwill+AllocNoncompete)/15,0)</f>
        <v>25666.6666666667</v>
      </c>
      <c r="K67" s="25" t="n">
        <f aca="false">IF(8&lt;=15,(Goodwill+AllocNoncompete)/15,0)</f>
        <v>25666.6666666667</v>
      </c>
      <c r="L67" s="25" t="n">
        <f aca="false">IF(9&lt;=15,(Goodwill+AllocNoncompete)/15,0)</f>
        <v>25666.6666666667</v>
      </c>
      <c r="M67" s="25" t="n">
        <f aca="false">IF(10&lt;=15,(Goodwill+AllocNoncompete)/15,0)</f>
        <v>25666.6666666667</v>
      </c>
      <c r="N67" s="25" t="n">
        <f aca="false">IF(11&lt;=15,(Goodwill+AllocNoncompete)/15,0)</f>
        <v>25666.6666666667</v>
      </c>
      <c r="O67" s="25" t="n">
        <f aca="false">IF(12&lt;=15,(Goodwill+AllocNoncompete)/15,0)</f>
        <v>25666.6666666667</v>
      </c>
      <c r="P67" s="25" t="n">
        <f aca="false">IF(13&lt;=15,(Goodwill+AllocNoncompete)/15,0)</f>
        <v>25666.6666666667</v>
      </c>
      <c r="Q67" s="25" t="n">
        <f aca="false">IF(14&lt;=15,(Goodwill+AllocNoncompete)/15,0)</f>
        <v>25666.6666666667</v>
      </c>
      <c r="R67" s="25" t="n">
        <f aca="false">IF(15&lt;=15,(Goodwill+AllocNoncompete)/15,0)</f>
        <v>25666.6666666667</v>
      </c>
      <c r="S67" s="25" t="n">
        <f aca="false">IF(16&lt;=15,(Goodwill+AllocNoncompete)/15,0)</f>
        <v>0</v>
      </c>
      <c r="T67" s="25" t="n">
        <f aca="false">IF(17&lt;=15,(Goodwill+AllocNoncompete)/15,0)</f>
        <v>0</v>
      </c>
      <c r="U67" s="1"/>
      <c r="V67" s="1"/>
      <c r="W67" s="1"/>
      <c r="X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customFormat="false" ht="15" hidden="false" customHeight="false" outlineLevel="0" collapsed="false">
      <c r="A69" s="1"/>
      <c r="B69" s="9" t="s">
        <v>494</v>
      </c>
      <c r="C69" s="1"/>
      <c r="D69" s="34" t="n">
        <f aca="false">D42+D65+D67</f>
        <v>110666.666666667</v>
      </c>
      <c r="E69" s="34" t="n">
        <f aca="false">E42+E65+E67</f>
        <v>25666.6666666667</v>
      </c>
      <c r="F69" s="34" t="n">
        <f aca="false">F42+F65+F67</f>
        <v>25666.6666666667</v>
      </c>
      <c r="G69" s="34" t="n">
        <f aca="false">G42+G65+G67</f>
        <v>444918.698391667</v>
      </c>
      <c r="H69" s="34" t="n">
        <f aca="false">H42+H65+H67</f>
        <v>25666.6666666667</v>
      </c>
      <c r="I69" s="34" t="n">
        <f aca="false">I42+I65+I67</f>
        <v>25666.6666666667</v>
      </c>
      <c r="J69" s="34" t="n">
        <f aca="false">J42+J65+J67</f>
        <v>25666.6666666667</v>
      </c>
      <c r="K69" s="34" t="n">
        <f aca="false">K42+K65+K67</f>
        <v>25666.6666666667</v>
      </c>
      <c r="L69" s="34" t="n">
        <f aca="false">L42+L65+L67</f>
        <v>25666.6666666667</v>
      </c>
      <c r="M69" s="34" t="n">
        <f aca="false">M42+M65+M67</f>
        <v>25666.6666666667</v>
      </c>
      <c r="N69" s="34" t="n">
        <f aca="false">N42+N65+N67</f>
        <v>262370.658560547</v>
      </c>
      <c r="O69" s="34" t="n">
        <f aca="false">O42+O65+O67</f>
        <v>25666.6666666667</v>
      </c>
      <c r="P69" s="34" t="n">
        <f aca="false">P42+P65+P67</f>
        <v>25666.6666666667</v>
      </c>
      <c r="Q69" s="34" t="n">
        <f aca="false">Q42+Q65+Q67</f>
        <v>25666.6666666667</v>
      </c>
      <c r="R69" s="34" t="n">
        <f aca="false">R42+R65+R67</f>
        <v>25666.6666666667</v>
      </c>
      <c r="S69" s="34" t="n">
        <f aca="false">S42+S65+S67</f>
        <v>0</v>
      </c>
      <c r="T69" s="34" t="n">
        <f aca="false">T42+T65+T67</f>
        <v>0</v>
      </c>
      <c r="U69" s="1"/>
      <c r="V69" s="1"/>
      <c r="W69" s="1"/>
      <c r="X69" s="1"/>
    </row>
    <row r="70" customFormat="false" ht="15" hidden="false" customHeight="false" outlineLevel="0" collapsed="false">
      <c r="A70" s="1"/>
      <c r="B70" s="9" t="s">
        <v>495</v>
      </c>
      <c r="C70" s="1"/>
      <c r="D70" s="34" t="n">
        <f aca="false">D62+D66+D67</f>
        <v>58500</v>
      </c>
      <c r="E70" s="34" t="n">
        <f aca="false">E62+E66+E67</f>
        <v>38533.3333333333</v>
      </c>
      <c r="F70" s="34" t="n">
        <f aca="false">F62+F66+F67</f>
        <v>34053.3333333333</v>
      </c>
      <c r="G70" s="34" t="n">
        <f aca="false">G62+G66+G67</f>
        <v>135215.739678333</v>
      </c>
      <c r="H70" s="34" t="n">
        <f aca="false">H62+H66+H67</f>
        <v>157525.983485333</v>
      </c>
      <c r="I70" s="34" t="n">
        <f aca="false">I62+I66+I67</f>
        <v>105045.723424533</v>
      </c>
      <c r="J70" s="34" t="n">
        <f aca="false">J62+J66+J67</f>
        <v>72751.1673880533</v>
      </c>
      <c r="K70" s="34" t="n">
        <f aca="false">K62+K66+K67</f>
        <v>72751.1673880533</v>
      </c>
      <c r="L70" s="34" t="n">
        <f aca="false">L62+L66+L67</f>
        <v>50042.2503606933</v>
      </c>
      <c r="M70" s="34" t="n">
        <f aca="false">M62+M66+M67</f>
        <v>27333.3333333333</v>
      </c>
      <c r="N70" s="34" t="n">
        <f aca="false">N62+N66+N67</f>
        <v>94674.1317121094</v>
      </c>
      <c r="O70" s="34" t="n">
        <f aca="false">O62+O66+O67</f>
        <v>95078.610739375</v>
      </c>
      <c r="P70" s="34" t="n">
        <f aca="false">P62+P66+P67</f>
        <v>67980.4997769583</v>
      </c>
      <c r="Q70" s="34" t="n">
        <f aca="false">Q62+Q66+Q67</f>
        <v>51721.6331995083</v>
      </c>
      <c r="R70" s="34" t="n">
        <f aca="false">R62+R66+R67</f>
        <v>51721.6331995083</v>
      </c>
      <c r="S70" s="34" t="n">
        <f aca="false">S62+S66+S67</f>
        <v>13027.4832664208</v>
      </c>
      <c r="T70" s="34" t="n">
        <f aca="false">T62+T66+T67</f>
        <v>0</v>
      </c>
      <c r="U70" s="1"/>
      <c r="V70" s="1"/>
      <c r="W70" s="1"/>
      <c r="X70" s="1"/>
    </row>
    <row r="71" customFormat="false" ht="15" hidden="false" customHeight="false" outlineLevel="0" collapsed="false">
      <c r="A71" s="1"/>
      <c r="B71" s="6" t="s">
        <v>496</v>
      </c>
      <c r="C71" s="1"/>
      <c r="D71" s="24" t="n">
        <f aca="false">SUM($D$22:D$22)+AllocLHI</f>
        <v>85000</v>
      </c>
      <c r="E71" s="24" t="n">
        <f aca="false">SUM($D$22:E$22)+AllocLHI</f>
        <v>85000</v>
      </c>
      <c r="F71" s="24" t="n">
        <f aca="false">SUM($D$22:F$22)+AllocLHI</f>
        <v>85000</v>
      </c>
      <c r="G71" s="24" t="n">
        <f aca="false">SUM($D$22:G$22)+AllocLHI</f>
        <v>504252.031725</v>
      </c>
      <c r="H71" s="24" t="n">
        <f aca="false">SUM($D$22:H$22)+AllocLHI</f>
        <v>504252.031725</v>
      </c>
      <c r="I71" s="24" t="n">
        <f aca="false">SUM($D$22:I$22)+AllocLHI</f>
        <v>504252.031725</v>
      </c>
      <c r="J71" s="24" t="n">
        <f aca="false">SUM($D$22:J$22)+AllocLHI</f>
        <v>504252.031725</v>
      </c>
      <c r="K71" s="24" t="n">
        <f aca="false">SUM($D$22:K$22)+AllocLHI</f>
        <v>504252.031725</v>
      </c>
      <c r="L71" s="24" t="n">
        <f aca="false">SUM($D$22:L$22)+AllocLHI</f>
        <v>504252.031725</v>
      </c>
      <c r="M71" s="24" t="n">
        <f aca="false">SUM($D$22:M$22)+AllocLHI</f>
        <v>504252.031725</v>
      </c>
      <c r="N71" s="24" t="n">
        <f aca="false">SUM($D$22:N$22)+AllocLHI</f>
        <v>740956.02361888</v>
      </c>
      <c r="O71" s="24" t="n">
        <f aca="false">SUM($D$22:O$22)+AllocLHI</f>
        <v>740956.02361888</v>
      </c>
      <c r="P71" s="24" t="n">
        <f aca="false">SUM($D$22:P$22)+AllocLHI</f>
        <v>740956.02361888</v>
      </c>
      <c r="Q71" s="24" t="n">
        <f aca="false">SUM($D$22:Q$22)+AllocLHI</f>
        <v>740956.02361888</v>
      </c>
      <c r="R71" s="24" t="n">
        <f aca="false">SUM($D$22:R$22)+AllocLHI</f>
        <v>740956.02361888</v>
      </c>
      <c r="S71" s="24" t="n">
        <f aca="false">SUM($D$22:S$22)+AllocLHI</f>
        <v>740956.02361888</v>
      </c>
      <c r="T71" s="24" t="n">
        <f aca="false">SUM($D$22:T$22)+AllocLHI</f>
        <v>740956.02361888</v>
      </c>
      <c r="U71" s="1"/>
      <c r="V71" s="1"/>
      <c r="W71" s="1"/>
      <c r="X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" hidden="false" customHeight="false" outlineLevel="0" collapsed="false">
      <c r="A73" s="1"/>
      <c r="B73" s="3" t="s">
        <v>497</v>
      </c>
      <c r="C73" s="25" t="n">
        <f aca="false">SUM(D69:T69)-SUM(D70:T70)</f>
        <v>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2"/>
    <col collapsed="false" customWidth="true" hidden="false" outlineLevel="0" max="7" min="6" style="0" width="9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7.35" hidden="false" customHeight="false" outlineLevel="0" collapsed="false">
      <c r="A2" s="1"/>
      <c r="B2" s="2" t="s">
        <v>498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3" t="s">
        <v>499</v>
      </c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"/>
      <c r="B5" s="4" t="s">
        <v>500</v>
      </c>
      <c r="C5" s="4" t="s">
        <v>501</v>
      </c>
      <c r="D5" s="4" t="s">
        <v>502</v>
      </c>
      <c r="E5" s="4" t="s">
        <v>503</v>
      </c>
      <c r="F5" s="4" t="s">
        <v>504</v>
      </c>
      <c r="G5" s="4" t="s">
        <v>505</v>
      </c>
      <c r="H5" s="4" t="s">
        <v>506</v>
      </c>
      <c r="I5" s="4" t="s">
        <v>507</v>
      </c>
      <c r="J5" s="4" t="s">
        <v>508</v>
      </c>
    </row>
    <row r="6" customFormat="false" ht="15" hidden="false" customHeight="false" outlineLevel="0" collapsed="false">
      <c r="A6" s="1"/>
      <c r="B6" s="9" t="s">
        <v>509</v>
      </c>
      <c r="C6" s="16" t="n">
        <v>450000</v>
      </c>
      <c r="D6" s="16" t="n">
        <v>372000</v>
      </c>
      <c r="E6" s="16" t="n">
        <v>177000</v>
      </c>
      <c r="F6" s="10" t="n">
        <f aca="false">IF(ISNUMBER(E6),C6/E6,"n/a")</f>
        <v>2.54237288135593</v>
      </c>
      <c r="G6" s="10" t="n">
        <f aca="false">IF(ISNUMBER(D6),C6/D6,"n/a")</f>
        <v>1.20967741935484</v>
      </c>
      <c r="H6" s="3" t="s">
        <v>510</v>
      </c>
      <c r="I6" s="6" t="s">
        <v>511</v>
      </c>
      <c r="J6" s="3" t="s">
        <v>512</v>
      </c>
    </row>
    <row r="7" customFormat="false" ht="15" hidden="false" customHeight="false" outlineLevel="0" collapsed="false">
      <c r="A7" s="1"/>
      <c r="B7" s="6" t="s">
        <v>513</v>
      </c>
      <c r="C7" s="16" t="n">
        <v>550000</v>
      </c>
      <c r="D7" s="16" t="n">
        <v>294000</v>
      </c>
      <c r="E7" s="16" t="n">
        <v>102000</v>
      </c>
      <c r="F7" s="10" t="n">
        <f aca="false">IF(ISNUMBER(E7),C7/E7,"n/a")</f>
        <v>5.3921568627451</v>
      </c>
      <c r="G7" s="10" t="n">
        <f aca="false">IF(ISNUMBER(D7),C7/D7,"n/a")</f>
        <v>1.87074829931973</v>
      </c>
      <c r="H7" s="3" t="s">
        <v>514</v>
      </c>
      <c r="I7" s="6" t="s">
        <v>515</v>
      </c>
      <c r="J7" s="3" t="s">
        <v>516</v>
      </c>
    </row>
    <row r="8" customFormat="false" ht="15" hidden="false" customHeight="false" outlineLevel="0" collapsed="false">
      <c r="A8" s="1"/>
      <c r="B8" s="6" t="s">
        <v>517</v>
      </c>
      <c r="C8" s="16" t="n">
        <v>50000</v>
      </c>
      <c r="D8" s="16" t="n">
        <v>104000</v>
      </c>
      <c r="E8" s="16" t="n">
        <v>43000</v>
      </c>
      <c r="F8" s="10" t="n">
        <f aca="false">IF(ISNUMBER(E8),C8/E8,"n/a")</f>
        <v>1.16279069767442</v>
      </c>
      <c r="G8" s="10" t="n">
        <f aca="false">IF(ISNUMBER(D8),C8/D8,"n/a")</f>
        <v>0.480769230769231</v>
      </c>
      <c r="H8" s="3" t="s">
        <v>518</v>
      </c>
      <c r="I8" s="6" t="s">
        <v>515</v>
      </c>
      <c r="J8" s="3" t="s">
        <v>519</v>
      </c>
    </row>
    <row r="9" customFormat="false" ht="15" hidden="false" customHeight="false" outlineLevel="0" collapsed="false">
      <c r="A9" s="1"/>
      <c r="B9" s="6" t="s">
        <v>520</v>
      </c>
      <c r="C9" s="16" t="n">
        <v>179000</v>
      </c>
      <c r="D9" s="16" t="n">
        <v>175000</v>
      </c>
      <c r="E9" s="16" t="n">
        <v>16000</v>
      </c>
      <c r="F9" s="10" t="n">
        <f aca="false">IF(ISNUMBER(E9),C9/E9,"n/a")</f>
        <v>11.1875</v>
      </c>
      <c r="G9" s="10" t="n">
        <f aca="false">IF(ISNUMBER(D9),C9/D9,"n/a")</f>
        <v>1.02285714285714</v>
      </c>
      <c r="H9" s="3" t="s">
        <v>521</v>
      </c>
      <c r="I9" s="6" t="s">
        <v>511</v>
      </c>
      <c r="J9" s="3" t="s">
        <v>522</v>
      </c>
    </row>
    <row r="10" customFormat="false" ht="15" hidden="false" customHeight="false" outlineLevel="0" collapsed="false">
      <c r="A10" s="1"/>
      <c r="B10" s="6" t="s">
        <v>523</v>
      </c>
      <c r="C10" s="16" t="n">
        <v>950000</v>
      </c>
      <c r="D10" s="16" t="n">
        <v>498922</v>
      </c>
      <c r="E10" s="16" t="n">
        <v>173422</v>
      </c>
      <c r="F10" s="10" t="n">
        <f aca="false">IF(ISNUMBER(E10),C10/E10,"n/a")</f>
        <v>5.47796703993726</v>
      </c>
      <c r="G10" s="10" t="n">
        <f aca="false">IF(ISNUMBER(D10),C10/D10,"n/a")</f>
        <v>1.90410525092099</v>
      </c>
      <c r="H10" s="3" t="s">
        <v>524</v>
      </c>
      <c r="I10" s="6" t="s">
        <v>511</v>
      </c>
      <c r="J10" s="3" t="s">
        <v>525</v>
      </c>
    </row>
    <row r="11" customFormat="false" ht="15" hidden="false" customHeight="false" outlineLevel="0" collapsed="false">
      <c r="A11" s="1"/>
      <c r="B11" s="6" t="s">
        <v>526</v>
      </c>
      <c r="C11" s="16" t="n">
        <v>650000</v>
      </c>
      <c r="D11" s="16" t="n">
        <v>416000</v>
      </c>
      <c r="E11" s="16" t="n">
        <v>150000</v>
      </c>
      <c r="F11" s="10" t="n">
        <f aca="false">IF(ISNUMBER(E11),C11/E11,"n/a")</f>
        <v>4.33333333333333</v>
      </c>
      <c r="G11" s="10" t="n">
        <f aca="false">IF(ISNUMBER(D11),C11/D11,"n/a")</f>
        <v>1.5625</v>
      </c>
      <c r="H11" s="3" t="s">
        <v>527</v>
      </c>
      <c r="I11" s="6" t="s">
        <v>515</v>
      </c>
      <c r="J11" s="3" t="s">
        <v>528</v>
      </c>
    </row>
    <row r="12" customFormat="false" ht="15" hidden="false" customHeight="false" outlineLevel="0" collapsed="false">
      <c r="A12" s="1"/>
      <c r="B12" s="6" t="s">
        <v>529</v>
      </c>
      <c r="C12" s="16" t="n">
        <v>110000</v>
      </c>
      <c r="D12" s="16" t="n">
        <v>153000</v>
      </c>
      <c r="E12" s="16" t="n">
        <v>58045</v>
      </c>
      <c r="F12" s="10" t="n">
        <f aca="false">IF(ISNUMBER(E12),C12/E12,"n/a")</f>
        <v>1.89508140236024</v>
      </c>
      <c r="G12" s="10" t="n">
        <f aca="false">IF(ISNUMBER(D12),C12/D12,"n/a")</f>
        <v>0.718954248366013</v>
      </c>
      <c r="H12" s="3"/>
      <c r="I12" s="6" t="s">
        <v>515</v>
      </c>
      <c r="J12" s="3" t="s">
        <v>530</v>
      </c>
    </row>
    <row r="13" customFormat="false" ht="15" hidden="false" customHeight="false" outlineLevel="0" collapsed="false">
      <c r="A13" s="1"/>
      <c r="B13" s="6" t="s">
        <v>531</v>
      </c>
      <c r="C13" s="16" t="n">
        <v>275000</v>
      </c>
      <c r="D13" s="16" t="s">
        <v>532</v>
      </c>
      <c r="E13" s="16" t="n">
        <v>52000</v>
      </c>
      <c r="F13" s="10" t="n">
        <f aca="false">IF(ISNUMBER(E13),C13/E13,"n/a")</f>
        <v>5.28846153846154</v>
      </c>
      <c r="G13" s="10" t="str">
        <f aca="false">IF(ISNUMBER(D13),C13/D13,"n/a")</f>
        <v>n/a</v>
      </c>
      <c r="H13" s="3" t="s">
        <v>533</v>
      </c>
      <c r="I13" s="6" t="s">
        <v>511</v>
      </c>
      <c r="J13" s="3" t="s">
        <v>534</v>
      </c>
    </row>
    <row r="14" customFormat="false" ht="15" hidden="false" customHeight="false" outlineLevel="0" collapsed="false">
      <c r="A14" s="1"/>
      <c r="B14" s="6" t="s">
        <v>535</v>
      </c>
      <c r="C14" s="16" t="n">
        <v>295000</v>
      </c>
      <c r="D14" s="16" t="n">
        <v>300000</v>
      </c>
      <c r="E14" s="16" t="s">
        <v>532</v>
      </c>
      <c r="F14" s="10" t="str">
        <f aca="false">IF(ISNUMBER(E14),C14/E14,"n/a")</f>
        <v>n/a</v>
      </c>
      <c r="G14" s="10" t="n">
        <f aca="false">IF(ISNUMBER(D14),C14/D14,"n/a")</f>
        <v>0.983333333333333</v>
      </c>
      <c r="H14" s="3" t="s">
        <v>536</v>
      </c>
      <c r="I14" s="6" t="s">
        <v>515</v>
      </c>
      <c r="J14" s="3" t="s">
        <v>537</v>
      </c>
    </row>
    <row r="15" customFormat="false" ht="15" hidden="false" customHeight="false" outlineLevel="0" collapsed="false">
      <c r="A15" s="1"/>
      <c r="B15" s="6" t="s">
        <v>538</v>
      </c>
      <c r="C15" s="16" t="n">
        <v>297500</v>
      </c>
      <c r="D15" s="16" t="n">
        <v>190000</v>
      </c>
      <c r="E15" s="16" t="n">
        <v>90000</v>
      </c>
      <c r="F15" s="10" t="n">
        <f aca="false">IF(ISNUMBER(E15),C15/E15,"n/a")</f>
        <v>3.30555555555556</v>
      </c>
      <c r="G15" s="10" t="n">
        <f aca="false">IF(ISNUMBER(D15),C15/D15,"n/a")</f>
        <v>1.56578947368421</v>
      </c>
      <c r="H15" s="3" t="s">
        <v>539</v>
      </c>
      <c r="I15" s="6" t="s">
        <v>540</v>
      </c>
      <c r="J15" s="3" t="s">
        <v>537</v>
      </c>
    </row>
    <row r="16" customFormat="false" ht="15" hidden="false" customHeight="false" outlineLevel="0" collapsed="false">
      <c r="A16" s="1"/>
      <c r="B16" s="6" t="s">
        <v>541</v>
      </c>
      <c r="C16" s="16" t="n">
        <v>450000</v>
      </c>
      <c r="D16" s="16" t="n">
        <v>400000</v>
      </c>
      <c r="E16" s="16" t="n">
        <v>177000</v>
      </c>
      <c r="F16" s="10" t="n">
        <f aca="false">IF(ISNUMBER(E16),C16/E16,"n/a")</f>
        <v>2.54237288135593</v>
      </c>
      <c r="G16" s="10" t="n">
        <f aca="false">IF(ISNUMBER(D16),C16/D16,"n/a")</f>
        <v>1.125</v>
      </c>
      <c r="H16" s="3" t="s">
        <v>542</v>
      </c>
      <c r="I16" s="6" t="s">
        <v>511</v>
      </c>
      <c r="J16" s="3" t="s">
        <v>543</v>
      </c>
    </row>
    <row r="17" customFormat="false" ht="15" hidden="false" customHeight="false" outlineLevel="0" collapsed="false">
      <c r="A17" s="1"/>
      <c r="B17" s="6" t="s">
        <v>544</v>
      </c>
      <c r="C17" s="16" t="n">
        <v>799000</v>
      </c>
      <c r="D17" s="16" t="n">
        <v>467000</v>
      </c>
      <c r="E17" s="16" t="n">
        <v>156000</v>
      </c>
      <c r="F17" s="10" t="n">
        <f aca="false">IF(ISNUMBER(E17),C17/E17,"n/a")</f>
        <v>5.12179487179487</v>
      </c>
      <c r="G17" s="10" t="n">
        <f aca="false">IF(ISNUMBER(D17),C17/D17,"n/a")</f>
        <v>1.71092077087794</v>
      </c>
      <c r="H17" s="3" t="s">
        <v>545</v>
      </c>
      <c r="I17" s="6" t="s">
        <v>511</v>
      </c>
      <c r="J17" s="3" t="s">
        <v>546</v>
      </c>
    </row>
    <row r="18" customFormat="false" ht="15" hidden="false" customHeight="false" outlineLevel="0" collapsed="false">
      <c r="A18" s="1"/>
      <c r="B18" s="6" t="s">
        <v>547</v>
      </c>
      <c r="C18" s="16" t="n">
        <v>589999</v>
      </c>
      <c r="D18" s="16" t="n">
        <v>420000</v>
      </c>
      <c r="E18" s="16" t="n">
        <v>130000</v>
      </c>
      <c r="F18" s="10" t="n">
        <f aca="false">IF(ISNUMBER(E18),C18/E18,"n/a")</f>
        <v>4.53845384615385</v>
      </c>
      <c r="G18" s="10" t="n">
        <f aca="false">IF(ISNUMBER(D18),C18/D18,"n/a")</f>
        <v>1.40475952380952</v>
      </c>
      <c r="H18" s="3" t="s">
        <v>548</v>
      </c>
      <c r="I18" s="6" t="s">
        <v>511</v>
      </c>
      <c r="J18" s="3" t="s">
        <v>546</v>
      </c>
    </row>
    <row r="19" customFormat="false" ht="15" hidden="false" customHeight="false" outlineLevel="0" collapsed="false">
      <c r="A19" s="1"/>
      <c r="B19" s="6" t="s">
        <v>549</v>
      </c>
      <c r="C19" s="16" t="n">
        <v>449300</v>
      </c>
      <c r="D19" s="16" t="s">
        <v>532</v>
      </c>
      <c r="E19" s="16" t="n">
        <v>160840</v>
      </c>
      <c r="F19" s="10" t="n">
        <f aca="false">IF(ISNUMBER(E19),C19/E19,"n/a")</f>
        <v>2.79345933847302</v>
      </c>
      <c r="G19" s="10" t="str">
        <f aca="false">IF(ISNUMBER(D19),C19/D19,"n/a")</f>
        <v>n/a</v>
      </c>
      <c r="H19" s="3" t="s">
        <v>550</v>
      </c>
      <c r="I19" s="6" t="s">
        <v>511</v>
      </c>
      <c r="J19" s="3" t="s">
        <v>546</v>
      </c>
    </row>
    <row r="20" customFormat="false" ht="15" hidden="false" customHeight="false" outlineLevel="0" collapsed="false">
      <c r="A20" s="1"/>
      <c r="B20" s="6" t="s">
        <v>551</v>
      </c>
      <c r="C20" s="16" t="n">
        <v>349500</v>
      </c>
      <c r="D20" s="16" t="s">
        <v>532</v>
      </c>
      <c r="E20" s="16" t="n">
        <v>112950</v>
      </c>
      <c r="F20" s="10" t="n">
        <f aca="false">IF(ISNUMBER(E20),C20/E20,"n/a")</f>
        <v>3.09428950863214</v>
      </c>
      <c r="G20" s="10" t="str">
        <f aca="false">IF(ISNUMBER(D20),C20/D20,"n/a")</f>
        <v>n/a</v>
      </c>
      <c r="H20" s="3" t="s">
        <v>552</v>
      </c>
      <c r="I20" s="6" t="s">
        <v>511</v>
      </c>
      <c r="J20" s="3" t="s">
        <v>546</v>
      </c>
    </row>
    <row r="21" customFormat="false" ht="15" hidden="false" customHeight="false" outlineLevel="0" collapsed="false">
      <c r="A21" s="1"/>
      <c r="B21" s="9" t="s">
        <v>553</v>
      </c>
      <c r="C21" s="1"/>
      <c r="D21" s="1"/>
      <c r="E21" s="1"/>
      <c r="F21" s="10" t="n">
        <f aca="false">MEDIAN(F7:F20)</f>
        <v>4.33333333333333</v>
      </c>
      <c r="G21" s="10" t="n">
        <f aca="false">MEDIAN(G7:G20)</f>
        <v>1.40475952380952</v>
      </c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9" t="s">
        <v>554</v>
      </c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6" t="s">
        <v>555</v>
      </c>
      <c r="C24" s="1"/>
      <c r="D24" s="1"/>
      <c r="E24" s="1"/>
      <c r="F24" s="1"/>
      <c r="G24" s="1"/>
      <c r="H24" s="44" t="s">
        <v>556</v>
      </c>
      <c r="I24" s="1"/>
      <c r="J24" s="1"/>
    </row>
    <row r="25" customFormat="false" ht="15" hidden="false" customHeight="false" outlineLevel="0" collapsed="false">
      <c r="A25" s="1"/>
      <c r="B25" s="6" t="s">
        <v>557</v>
      </c>
      <c r="C25" s="1"/>
      <c r="D25" s="1"/>
      <c r="E25" s="1"/>
      <c r="F25" s="1"/>
      <c r="G25" s="1"/>
      <c r="H25" s="44" t="s">
        <v>558</v>
      </c>
      <c r="I25" s="1"/>
      <c r="J25" s="1"/>
    </row>
    <row r="26" customFormat="false" ht="15" hidden="false" customHeight="false" outlineLevel="0" collapsed="false">
      <c r="A26" s="1"/>
      <c r="B26" s="6" t="s">
        <v>559</v>
      </c>
      <c r="C26" s="1"/>
      <c r="D26" s="1"/>
      <c r="E26" s="1"/>
      <c r="F26" s="1"/>
      <c r="G26" s="1"/>
      <c r="H26" s="44" t="s">
        <v>560</v>
      </c>
      <c r="I26" s="1"/>
      <c r="J26" s="1"/>
    </row>
    <row r="27" customFormat="false" ht="15" hidden="false" customHeight="false" outlineLevel="0" collapsed="false">
      <c r="A27" s="1"/>
      <c r="B27" s="6" t="s">
        <v>561</v>
      </c>
      <c r="C27" s="1"/>
      <c r="D27" s="1"/>
      <c r="E27" s="1"/>
      <c r="F27" s="1"/>
      <c r="G27" s="1"/>
      <c r="H27" s="44" t="s">
        <v>562</v>
      </c>
      <c r="I27" s="1"/>
      <c r="J27" s="1"/>
    </row>
    <row r="28" customFormat="false" ht="15" hidden="false" customHeight="false" outlineLevel="0" collapsed="false">
      <c r="A28" s="1"/>
      <c r="B28" s="6" t="s">
        <v>563</v>
      </c>
      <c r="C28" s="1"/>
      <c r="D28" s="1"/>
      <c r="E28" s="1"/>
      <c r="F28" s="1"/>
      <c r="G28" s="1"/>
      <c r="H28" s="44" t="s">
        <v>564</v>
      </c>
      <c r="I28" s="1"/>
      <c r="J28" s="1"/>
    </row>
    <row r="29" customFormat="false" ht="15" hidden="false" customHeight="false" outlineLevel="0" collapsed="false">
      <c r="A29" s="1"/>
      <c r="B29" s="6" t="s">
        <v>565</v>
      </c>
      <c r="C29" s="1"/>
      <c r="D29" s="1"/>
      <c r="E29" s="1"/>
      <c r="F29" s="1"/>
      <c r="G29" s="1"/>
      <c r="H29" s="44" t="s">
        <v>566</v>
      </c>
      <c r="I29" s="1"/>
      <c r="J29" s="1"/>
    </row>
    <row r="30" customFormat="false" ht="15" hidden="false" customHeight="false" outlineLevel="0" collapsed="false">
      <c r="A30" s="1"/>
      <c r="B30" s="6" t="s">
        <v>567</v>
      </c>
      <c r="C30" s="1"/>
      <c r="D30" s="1"/>
      <c r="E30" s="1"/>
      <c r="F30" s="1"/>
      <c r="G30" s="1"/>
      <c r="H30" s="44" t="s">
        <v>568</v>
      </c>
      <c r="I30" s="1"/>
      <c r="J30" s="1"/>
    </row>
    <row r="31" customFormat="false" ht="15" hidden="false" customHeight="false" outlineLevel="0" collapsed="false">
      <c r="A31" s="1"/>
      <c r="B31" s="6" t="s">
        <v>569</v>
      </c>
      <c r="C31" s="1"/>
      <c r="D31" s="1"/>
      <c r="E31" s="1"/>
      <c r="F31" s="1"/>
      <c r="G31" s="1"/>
      <c r="H31" s="44" t="s">
        <v>570</v>
      </c>
      <c r="I31" s="1"/>
      <c r="J31" s="1"/>
    </row>
    <row r="32" customFormat="false" ht="15" hidden="false" customHeight="false" outlineLevel="0" collapsed="false">
      <c r="A32" s="1"/>
      <c r="B32" s="6" t="s">
        <v>571</v>
      </c>
      <c r="C32" s="1"/>
      <c r="D32" s="1"/>
      <c r="E32" s="1"/>
      <c r="F32" s="1"/>
      <c r="G32" s="1"/>
      <c r="H32" s="44" t="s">
        <v>572</v>
      </c>
      <c r="I32" s="1"/>
      <c r="J3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2026-10-16T19:18:03Z</dcterms:created>
  <dc:creator>openpyxl</dc:creator>
  <dc:description/>
  <dc:language>en-US</dc:language>
  <cp:lastModifiedBy/>
  <dcterms:modified xsi:type="dcterms:W3CDTF">2026-10-16T19:18:57Z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